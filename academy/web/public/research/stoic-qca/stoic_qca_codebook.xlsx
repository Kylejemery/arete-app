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debook" sheetId="1" state="visible" r:id="rId3"/>
    <sheet name="Scores" sheetId="2" state="visible" r:id="rId4"/>
    <sheet name="Revision Log" sheetId="3" state="visible" r:id="rId5"/>
    <sheet name="Changes" sheetId="4" state="visible" r:id="rId6"/>
    <sheet name="Crisp" sheetId="5" state="visible" r:id="rId7"/>
    <sheet name="Paths" sheetId="6" state="visible" r:id="rId8"/>
    <sheet name="Baselin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<sst xmlns="http://schemas.openxmlformats.org/spreadsheetml/2006/main" count="259" uniqueCount="142">
  <si>
    <t xml:space="preserve">Stoic QCA Codebook</t>
  </si>
  <si>
    <t xml:space="preserve">Purpose</t>
  </si>
  <si>
    <t xml:space="preserve">Fuzzy-set QCA of ancient Stoics: which configurations of life conditions go with living consistently with Stoic doctrine.</t>
  </si>
  <si>
    <t xml:space="preserve">How to use</t>
  </si>
  <si>
    <t xml:space="preserve">Edit only the blue cells on the Scores sheet. Record every change on the Revision Log sheet. The Changes sheet compares Scores with Baseline automatically. Crisp and Paths recalculate from Scores. New cases go in the next empty row of Scores (up to 60 cases). The R script reads the Scores sheet directly, and sync_to_site.R pushes the Scores sheet to the website.</t>
  </si>
  <si>
    <t xml:space="preserve">Baseline</t>
  </si>
  <si>
    <t xml:space="preserve">The Baseline sheet holds the first-pass scores (Claude, September 2026). Do not edit it. It exists so you can report how much expert review changed the results.</t>
  </si>
  <si>
    <t xml:space="preserve">Scale</t>
  </si>
  <si>
    <t xml:space="preserve">Four-value fuzzy scale: 0 = fully out, 0.33 = more out than in, 0.67 = more in than out, 1 = fully in. The 0.5 crossover is never used as a score.</t>
  </si>
  <si>
    <t xml:space="preserve">Set</t>
  </si>
  <si>
    <t xml:space="preserve">Anchors</t>
  </si>
  <si>
    <t xml:space="preserve">CONS (outcome)</t>
  </si>
  <si>
    <t xml:space="preserve">1 = sources treat his life as matching the doctrine under a real test. 0.67 = broadly consistent, minor criticism. 0.33 = serious contemporary charges of hypocrisy. 0 = abandoned or betrayed the doctrine.</t>
  </si>
  <si>
    <t xml:space="preserve">POW</t>
  </si>
  <si>
    <t xml:space="preserve">1 = supreme or consular authority. 0.67 = senior office or chief adviser to a ruler. 0.33 = civic or ambassadorial role. 0 = none.</t>
  </si>
  <si>
    <t xml:space="preserve">WLTH</t>
  </si>
  <si>
    <t xml:space="preserve">1 = among the richest of his society. 0.67 = propertied elite. 0.33 = modest means. 0 = poverty or slavery.</t>
  </si>
  <si>
    <t xml:space="preserve">ADV</t>
  </si>
  <si>
    <t xml:space="preserve">1 = slavery, exile, or condemnation. 0.67 = major loss, illness, or catastrophe. 0.33 = episodic hardship. 0 = none recorded.</t>
  </si>
  <si>
    <t xml:space="preserve">TEACH</t>
  </si>
  <si>
    <t xml:space="preserve">1 = trained directly under a recognized Stoic teacher. 0.67 = Stoic mentor in the household or sustained contact. 0.33 = indirect or mixed influence. 0 = none recorded.</t>
  </si>
  <si>
    <t xml:space="preserve">PROF</t>
  </si>
  <si>
    <t xml:space="preserve">1 = taught philosophy as his career. 0 = career in public life. Treated as crisp.</t>
  </si>
  <si>
    <t xml:space="preserve">COURT</t>
  </si>
  <si>
    <t xml:space="preserve">1 = served at the pleasure of a monarch as adviser or officer. 0.67 = partly so. 0 = held office in his own right, opposed the throne, or was the monarch.</t>
  </si>
  <si>
    <t xml:space="preserve">Flags (not QCA sets)</t>
  </si>
  <si>
    <t xml:space="preserve">TEACH_KNOWN</t>
  </si>
  <si>
    <t xml:space="preserve">1 = the sources tell us who taught him. 0 = no record. Separates an unknown teacher from no teacher.</t>
  </si>
  <si>
    <t xml:space="preserve">CONS_TESTED</t>
  </si>
  <si>
    <t xml:space="preserve">1 = sources describe his conduct under a specific pressure. 0 = judgment rests on general reputation. Use it to check whether CONS is confounded with ADV.</t>
  </si>
  <si>
    <t xml:space="preserve">Known problems</t>
  </si>
  <si>
    <t xml:space="preserve">Observability: consistency is hardest to judge without adversity. Survivorship: the sources record remarkable lives. Boundary cases: Thrasea and Helvidius are Stoic partly by later attribution. Scores are first-pass judgments and should be checked against the cited passages.</t>
  </si>
  <si>
    <t xml:space="preserve">Color legend</t>
  </si>
  <si>
    <t xml:space="preserve">Blue text = hardcoded inputs you can edit. Black text = formulas.</t>
  </si>
  <si>
    <t xml:space="preserve">Case</t>
  </si>
  <si>
    <t xml:space="preserve">Period</t>
  </si>
  <si>
    <t xml:space="preserve">CONS</t>
  </si>
  <si>
    <t xml:space="preserve">Key sources</t>
  </si>
  <si>
    <t xml:space="preserve">Coding notes</t>
  </si>
  <si>
    <t xml:space="preserve">Zeno of Citium</t>
  </si>
  <si>
    <t xml:space="preserve">c. 334-262 BCE</t>
  </si>
  <si>
    <t xml:space="preserve">Diogenes Laertius (DL) 7.1-7.31; Athenian decree at DL 7.10-12</t>
  </si>
  <si>
    <t xml:space="preserve">Lost a merchant fortune in a shipwreck (DL 7.2-5). The Athenian decree honored his life as matching his teaching. WLTH reflects life after the loss.</t>
  </si>
  <si>
    <t xml:space="preserve">Cleanthes</t>
  </si>
  <si>
    <t xml:space="preserve">c. 330-230 BCE</t>
  </si>
  <si>
    <t xml:space="preserve">DL 7.168-176</t>
  </si>
  <si>
    <t xml:space="preserve">Drew water at night to pay for study. ADV coded as sustained poverty rather than catastrophe.</t>
  </si>
  <si>
    <t xml:space="preserve">Chrysippus</t>
  </si>
  <si>
    <t xml:space="preserve">c. 279-206 BCE</t>
  </si>
  <si>
    <t xml:space="preserve">DL 7.179-202</t>
  </si>
  <si>
    <t xml:space="preserve">Paternal property reportedly confiscated to a royal treasury (DL 7.181). Anecdotes of arrogance keep CONS below 1. Little record of conduct under pressure.</t>
  </si>
  <si>
    <t xml:space="preserve">Diogenes of Babylon</t>
  </si>
  <si>
    <t xml:space="preserve">c. 230-150 BCE</t>
  </si>
  <si>
    <t xml:space="preserve">Cicero, Academica 2.137; Seneca, De Ira 3.38</t>
  </si>
  <si>
    <t xml:space="preserve">Envoy to Rome in 155 BCE. The anecdote of calm when spat on is thin evidence for CONS.</t>
  </si>
  <si>
    <t xml:space="preserve">Panaetius</t>
  </si>
  <si>
    <t xml:space="preserve">c. 185-110 BCE</t>
  </si>
  <si>
    <t xml:space="preserve">Cicero, De Officiis (esp. Book 1); Cicero, Pro Murena 66</t>
  </si>
  <si>
    <t xml:space="preserve">Aristocratic Rhodian; companion of Scipio Aemilianus. COURT = 0 because Scipio was not a monarch.</t>
  </si>
  <si>
    <t xml:space="preserve">Posidonius</t>
  </si>
  <si>
    <t xml:space="preserve">c. 135-51 BCE</t>
  </si>
  <si>
    <t xml:space="preserve">Cicero, Tusculan Disputations 2.61; Plutarch, Marius 45</t>
  </si>
  <si>
    <t xml:space="preserve">Held the prytany at Rhodes and served as envoy to Rome. The gout lecture before Pompey is the main test evidence.</t>
  </si>
  <si>
    <t xml:space="preserve">Athenodorus Cananites</t>
  </si>
  <si>
    <t xml:space="preserve">c. 74 BCE-7 CE</t>
  </si>
  <si>
    <t xml:space="preserve">Strabo 14.5.14; Plutarch, Sayings of Kings and Commanders 207C</t>
  </si>
  <si>
    <t xml:space="preserve">Teacher and adviser of Octavian; later reformed the government of Tarsus. Key test case for the COURT condition.</t>
  </si>
  <si>
    <t xml:space="preserve">Dionysius the Renegade</t>
  </si>
  <si>
    <t xml:space="preserve">c. 330-250 BCE</t>
  </si>
  <si>
    <t xml:space="preserve">DL 7.166-167; Cicero, Tusculan Disputations 2.60</t>
  </si>
  <si>
    <t xml:space="preserve">Studied under Zeno; abandoned Stoicism for Cyrenaic hedonism during severe eye pain.</t>
  </si>
  <si>
    <t xml:space="preserve">Egnatius Celer</t>
  </si>
  <si>
    <t xml:space="preserve">fl. 60s CE</t>
  </si>
  <si>
    <t xml:space="preserve">Tacitus, Annals 16.32; Histories 4.10, 4.40; Juvenal, Satires 3.116</t>
  </si>
  <si>
    <t xml:space="preserve">Testified against his patron and pupil Barea Soranus under Nero; later condemned after Musonius prosecuted him. TEACH = 0 means no recorded teacher. WLTH is a guess.</t>
  </si>
  <si>
    <t xml:space="preserve">Musonius Rufus</t>
  </si>
  <si>
    <t xml:space="preserve">c. 30-100 CE</t>
  </si>
  <si>
    <t xml:space="preserve">Tacitus, Annals 14.59, 15.71; Histories 3.81, 4.10, 4.40</t>
  </si>
  <si>
    <t xml:space="preserve">Equestrian; exiled by Nero to Gyaros. TEACH = 0 reflects no recorded teacher, not an absence of one (see TEACH_KNOWN).</t>
  </si>
  <si>
    <t xml:space="preserve">Epictetus</t>
  </si>
  <si>
    <t xml:space="preserve">c. 50-135 CE</t>
  </si>
  <si>
    <t xml:space="preserve">Arrian, Discourses 1.7.32, 1.9.29; Aulus Gellius 15.11</t>
  </si>
  <si>
    <t xml:space="preserve">Born a slave, lame, expelled from Rome under Domitian. Studied under Musonius.</t>
  </si>
  <si>
    <t xml:space="preserve">Persaeus</t>
  </si>
  <si>
    <t xml:space="preserve">c. 307-243 BCE</t>
  </si>
  <si>
    <t xml:space="preserve">DL 7.6, 7.36; Athenaeus 4.162</t>
  </si>
  <si>
    <t xml:space="preserve">Zeno's pupil sent to the court of Antigonus Gonatas; commanded Acrocorinth when it fell in 243 BCE. Antigonus reportedly tested him with false news of his estate's loss (DL 7.36). PROF = 0 because his career was at court and in command.</t>
  </si>
  <si>
    <t xml:space="preserve">Rutilius Rufus</t>
  </si>
  <si>
    <t xml:space="preserve">c. 158-78 BCE</t>
  </si>
  <si>
    <t xml:space="preserve">Cicero, Brutus 113-116; Velleius Paterculus 2.13; Valerius Maximus 6.4.4; Seneca, De Beneficiis 6.37</t>
  </si>
  <si>
    <t xml:space="preserve">Consul 105 BCE; studied under Panaetius. Convicted on a widely believed false charge and lived out his exile in the province he was accused of plundering.</t>
  </si>
  <si>
    <t xml:space="preserve">Cato the Younger</t>
  </si>
  <si>
    <t xml:space="preserve">95-46 BCE</t>
  </si>
  <si>
    <t xml:space="preserve">Plutarch, Cato Minor; Cicero, Pro Murena 60-66</t>
  </si>
  <si>
    <t xml:space="preserve">Praetor, never consul. Lived with the Stoic Athenodorus Cordylion. Suicide at Utica. Cicero mocks his rigor, which is not a charge of inconsistency.</t>
  </si>
  <si>
    <t xml:space="preserve">Seneca</t>
  </si>
  <si>
    <t xml:space="preserve">c. 4 BCE-65 CE</t>
  </si>
  <si>
    <t xml:space="preserve">Tacitus, Annals 13.42, 14.52-56, 15.60-64; Cassius Dio 61.10; Seneca, Letters 108</t>
  </si>
  <si>
    <t xml:space="preserve">Nero's adviser and suffect consul 56 CE; exiled to Corsica; forced suicide. Charges of hypocrisy about his wealth drive CONS = .33, while his death scene pulls the other way. Contested case.</t>
  </si>
  <si>
    <t xml:space="preserve">Thrasea Paetus</t>
  </si>
  <si>
    <t xml:space="preserve">d. 66 CE</t>
  </si>
  <si>
    <t xml:space="preserve">Tacitus, Annals 14.12, 16.21-35; Epictetus, Discourses 1.1.26</t>
  </si>
  <si>
    <t xml:space="preserve">Suffect consul 56 CE; forced suicide under Nero. His Stoic label is partly a later attribution. Boundary case.</t>
  </si>
  <si>
    <t xml:space="preserve">Helvidius Priscus</t>
  </si>
  <si>
    <t xml:space="preserve">d. c. 75 CE</t>
  </si>
  <si>
    <t xml:space="preserve">Tacitus, Histories 4.5-6; Suetonius, Vespasian 15; Epictetus, Discourses 1.2.19-24</t>
  </si>
  <si>
    <t xml:space="preserve">Praetor 70 CE; son-in-law of Thrasea; exiled and executed under Vespasian. Teacher unnamed in the sources.</t>
  </si>
  <si>
    <t xml:space="preserve">Marcus Aurelius</t>
  </si>
  <si>
    <t xml:space="preserve">121-180 CE</t>
  </si>
  <si>
    <t xml:space="preserve">Meditations Book 1; Cassius Dio 72; Historia Augusta, Life of Marcus</t>
  </si>
  <si>
    <t xml:space="preserve">Emperor, so COURT = 0: he was the throne, not a courtier. Taught by Junius Rusticus and Apollonius. The Commodus succession keeps CONS at .67.</t>
  </si>
  <si>
    <t xml:space="preserve">Date</t>
  </si>
  <si>
    <t xml:space="preserve">Old score</t>
  </si>
  <si>
    <t xml:space="preserve">New score</t>
  </si>
  <si>
    <t xml:space="preserve">Pass</t>
  </si>
  <si>
    <t xml:space="preserve">Evidence (passage)</t>
  </si>
  <si>
    <t xml:space="preserve">Reasoning</t>
  </si>
  <si>
    <t xml:space="preserve">Coder</t>
  </si>
  <si>
    <t xml:space="preserve">2026-09-28</t>
  </si>
  <si>
    <t xml:space="preserve">Conditions</t>
  </si>
  <si>
    <t xml:space="preserve">Tacitus, Annals 16.32</t>
  </si>
  <si>
    <t xml:space="preserve">Example row showing the format. Replace or delete it.</t>
  </si>
  <si>
    <t xml:space="preserve">Kyle</t>
  </si>
  <si>
    <t xml:space="preserve">One row per change. Pass records whether you were scoring conditions or the outcome, so you can show the two were scored separately.</t>
  </si>
  <si>
    <t xml:space="preserve">Changes in row</t>
  </si>
  <si>
    <t xml:space="preserve">Total score changes</t>
  </si>
  <si>
    <t xml:space="preserve">Cases added</t>
  </si>
  <si>
    <t xml:space="preserve">Cases with any change</t>
  </si>
  <si>
    <t xml:space="preserve">Compares Scores with Baseline by case name, so reordering rows is safe. Blank means unchanged.</t>
  </si>
  <si>
    <t xml:space="preserve">Row key (POW WLTH ADV TEACH PROF)</t>
  </si>
  <si>
    <t xml:space="preserve">Crossover: a score above 0.5 counts as in (1). Change the 0.5 in the formulas only if you change the scale.</t>
  </si>
  <si>
    <t xml:space="preserve">P1: TEACH*PROF</t>
  </si>
  <si>
    <t xml:space="preserve">P1 and CONS</t>
  </si>
  <si>
    <t xml:space="preserve">P2: POW*WLTH*ADV*~PROF</t>
  </si>
  <si>
    <t xml:space="preserve">P2 and CONS</t>
  </si>
  <si>
    <t xml:space="preserve">P3: POW*ADV*~COURT*~PROF</t>
  </si>
  <si>
    <t xml:space="preserve">P3 and CONS</t>
  </si>
  <si>
    <t xml:space="preserve">Sufficiency fit</t>
  </si>
  <si>
    <t xml:space="preserve">Consistency</t>
  </si>
  <si>
    <t xml:space="preserve">Coverage</t>
  </si>
  <si>
    <t xml:space="preserve">Fuzzy consistency = sum of min(path, CONS) / sum of path. Coverage = sum of min(path, CONS) / sum of CONS. A common benchmark for a sufficient path is consistency of 0.80 or higher. ~X means 1 minus X.</t>
  </si>
  <si>
    <t xml:space="preserve">First-pass scores by Claude, September 2026. Reference only; do not edit.</t>
  </si>
</sst>
</file>

<file path=xl/styles.xml><?xml version="1.0" encoding="utf-8"?>
<styleSheet xmlns="http://schemas.openxmlformats.org/spreadsheetml/2006/main">
  <numFmts count="2">
    <numFmt numFmtId="164" formatCode="General"/>
    <numFmt numFmtId="165"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i val="true"/>
      <sz val="11"/>
      <color rgb="FF808080"/>
      <name val="Arial"/>
      <family val="0"/>
      <charset val="1"/>
    </font>
    <font>
      <i val="true"/>
      <sz val="11"/>
      <name val="Arial"/>
      <family val="0"/>
      <charset val="1"/>
    </font>
  </fonts>
  <fills count="3">
    <fill>
      <patternFill patternType="none"/>
    </fill>
    <fill>
      <patternFill patternType="gray125"/>
    </fill>
    <fill>
      <patternFill patternType="solid">
        <fgColor rgb="FF3B4A5A"/>
        <bgColor rgb="FF3333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B4A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0"/>
  </cols>
  <sheetData>
    <row r="1" customFormat="false" ht="32.8" hidden="false" customHeight="false" outlineLevel="0" collapsed="false">
      <c r="A1" s="1" t="s">
        <v>0</v>
      </c>
    </row>
    <row r="2" customFormat="false" ht="26.85" hidden="false" customHeight="false" outlineLevel="0" collapsed="false">
      <c r="A2" s="2" t="s">
        <v>1</v>
      </c>
      <c r="B2" s="3" t="s">
        <v>2</v>
      </c>
    </row>
    <row r="3" customFormat="false" ht="52.2" hidden="false" customHeight="false" outlineLevel="0" collapsed="false">
      <c r="A3" s="2" t="s">
        <v>3</v>
      </c>
      <c r="B3" s="3" t="s">
        <v>4</v>
      </c>
    </row>
    <row r="4" customFormat="false" ht="26.85" hidden="false" customHeight="false" outlineLevel="0" collapsed="false">
      <c r="A4" s="2" t="s">
        <v>5</v>
      </c>
      <c r="B4" s="3" t="s">
        <v>6</v>
      </c>
    </row>
    <row r="5" customFormat="false" ht="26.85" hidden="false" customHeight="false" outlineLevel="0" collapsed="false">
      <c r="A5" s="2" t="s">
        <v>7</v>
      </c>
      <c r="B5" s="3" t="s">
        <v>8</v>
      </c>
    </row>
    <row r="6" customFormat="false" ht="15" hidden="false" customHeight="false" outlineLevel="0" collapsed="false">
      <c r="A6" s="4"/>
      <c r="B6" s="4"/>
    </row>
    <row r="7" customFormat="false" ht="15" hidden="false" customHeight="false" outlineLevel="0" collapsed="false">
      <c r="A7" s="2" t="s">
        <v>9</v>
      </c>
      <c r="B7" s="3" t="s">
        <v>10</v>
      </c>
    </row>
    <row r="8" customFormat="false" ht="26.85" hidden="false" customHeight="false" outlineLevel="0" collapsed="false">
      <c r="A8" s="2" t="s">
        <v>11</v>
      </c>
      <c r="B8" s="3" t="s">
        <v>12</v>
      </c>
    </row>
    <row r="9" customFormat="false" ht="26.85" hidden="false" customHeight="false" outlineLevel="0" collapsed="false">
      <c r="A9" s="2" t="s">
        <v>13</v>
      </c>
      <c r="B9" s="3" t="s">
        <v>14</v>
      </c>
    </row>
    <row r="10" customFormat="false" ht="15" hidden="false" customHeight="false" outlineLevel="0" collapsed="false">
      <c r="A10" s="2" t="s">
        <v>15</v>
      </c>
      <c r="B10" s="3" t="s">
        <v>16</v>
      </c>
    </row>
    <row r="11" customFormat="false" ht="26.85" hidden="false" customHeight="false" outlineLevel="0" collapsed="false">
      <c r="A11" s="2" t="s">
        <v>17</v>
      </c>
      <c r="B11" s="3" t="s">
        <v>18</v>
      </c>
    </row>
    <row r="12" customFormat="false" ht="26.85" hidden="false" customHeight="false" outlineLevel="0" collapsed="false">
      <c r="A12" s="2" t="s">
        <v>19</v>
      </c>
      <c r="B12" s="3" t="s">
        <v>20</v>
      </c>
    </row>
    <row r="13" customFormat="false" ht="15" hidden="false" customHeight="false" outlineLevel="0" collapsed="false">
      <c r="A13" s="2" t="s">
        <v>21</v>
      </c>
      <c r="B13" s="3" t="s">
        <v>22</v>
      </c>
    </row>
    <row r="14" customFormat="false" ht="26.85" hidden="false" customHeight="false" outlineLevel="0" collapsed="false">
      <c r="A14" s="2" t="s">
        <v>23</v>
      </c>
      <c r="B14" s="3" t="s">
        <v>24</v>
      </c>
    </row>
    <row r="15" customFormat="false" ht="15" hidden="false" customHeight="false" outlineLevel="0" collapsed="false">
      <c r="A15" s="4"/>
      <c r="B15" s="4"/>
    </row>
    <row r="16" customFormat="false" ht="15" hidden="false" customHeight="false" outlineLevel="0" collapsed="false">
      <c r="A16" s="2" t="s">
        <v>25</v>
      </c>
      <c r="B16" s="3"/>
    </row>
    <row r="17" customFormat="false" ht="15" hidden="false" customHeight="false" outlineLevel="0" collapsed="false">
      <c r="A17" s="2" t="s">
        <v>26</v>
      </c>
      <c r="B17" s="3" t="s">
        <v>27</v>
      </c>
    </row>
    <row r="18" customFormat="false" ht="26.85" hidden="false" customHeight="false" outlineLevel="0" collapsed="false">
      <c r="A18" s="2" t="s">
        <v>28</v>
      </c>
      <c r="B18" s="3" t="s">
        <v>29</v>
      </c>
    </row>
    <row r="19" customFormat="false" ht="15" hidden="false" customHeight="false" outlineLevel="0" collapsed="false">
      <c r="A19" s="2"/>
      <c r="B19" s="3"/>
    </row>
    <row r="20" customFormat="false" ht="39.55" hidden="false" customHeight="false" outlineLevel="0" collapsed="false">
      <c r="A20" s="2" t="s">
        <v>30</v>
      </c>
      <c r="B20" s="3" t="s">
        <v>31</v>
      </c>
    </row>
    <row r="21" customFormat="false" ht="15" hidden="false" customHeight="false" outlineLevel="0" collapsed="false">
      <c r="A21" s="2" t="s">
        <v>32</v>
      </c>
      <c r="B21" s="3" t="s">
        <v>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5" min="3" style="0" width="7"/>
    <col collapsed="false" customWidth="true" hidden="false" outlineLevel="0" max="6" min="6" style="0" width="8"/>
    <col collapsed="false" customWidth="true" hidden="false" outlineLevel="0" max="7" min="7" style="0" width="7"/>
    <col collapsed="false" customWidth="true" hidden="false" outlineLevel="0" max="8" min="8" style="0" width="8"/>
    <col collapsed="false" customWidth="true" hidden="false" outlineLevel="0" max="9" min="9" style="0" width="7"/>
    <col collapsed="false" customWidth="true" hidden="false" outlineLevel="0" max="11" min="10" style="0" width="12"/>
    <col collapsed="false" customWidth="true" hidden="false" outlineLevel="0" max="12" min="12" style="0" width="42"/>
    <col collapsed="false" customWidth="true" hidden="false" outlineLevel="0" max="13" min="13" style="0" width="70"/>
  </cols>
  <sheetData>
    <row r="1" customFormat="false" ht="26.85" hidden="false" customHeight="false" outlineLevel="0" collapsed="false">
      <c r="A1" s="5" t="s">
        <v>34</v>
      </c>
      <c r="B1" s="5" t="s">
        <v>35</v>
      </c>
      <c r="C1" s="5" t="s">
        <v>13</v>
      </c>
      <c r="D1" s="5" t="s">
        <v>15</v>
      </c>
      <c r="E1" s="5" t="s">
        <v>17</v>
      </c>
      <c r="F1" s="5" t="s">
        <v>19</v>
      </c>
      <c r="G1" s="5" t="s">
        <v>21</v>
      </c>
      <c r="H1" s="5" t="s">
        <v>23</v>
      </c>
      <c r="I1" s="5" t="s">
        <v>36</v>
      </c>
      <c r="J1" s="5" t="s">
        <v>26</v>
      </c>
      <c r="K1" s="5" t="s">
        <v>28</v>
      </c>
      <c r="L1" s="5" t="s">
        <v>37</v>
      </c>
      <c r="M1" s="5" t="s">
        <v>38</v>
      </c>
    </row>
    <row r="2" customFormat="false" ht="26.85" hidden="false" customHeight="false" outlineLevel="0" collapsed="false">
      <c r="A2" s="6" t="s">
        <v>39</v>
      </c>
      <c r="B2" s="6" t="s">
        <v>40</v>
      </c>
      <c r="C2" s="7" t="n">
        <v>0</v>
      </c>
      <c r="D2" s="7" t="n">
        <v>0.33</v>
      </c>
      <c r="E2" s="7" t="n">
        <v>0.67</v>
      </c>
      <c r="F2" s="7" t="n">
        <v>1</v>
      </c>
      <c r="G2" s="7" t="n">
        <v>1</v>
      </c>
      <c r="H2" s="7" t="n">
        <v>0</v>
      </c>
      <c r="I2" s="7" t="n">
        <v>1</v>
      </c>
      <c r="J2" s="8" t="n">
        <v>1</v>
      </c>
      <c r="K2" s="8" t="n">
        <v>1</v>
      </c>
      <c r="L2" s="6" t="s">
        <v>41</v>
      </c>
      <c r="M2" s="6" t="s">
        <v>42</v>
      </c>
    </row>
    <row r="3" customFormat="false" ht="26.85" hidden="false" customHeight="false" outlineLevel="0" collapsed="false">
      <c r="A3" s="6" t="s">
        <v>43</v>
      </c>
      <c r="B3" s="6" t="s">
        <v>44</v>
      </c>
      <c r="C3" s="7" t="n">
        <v>0</v>
      </c>
      <c r="D3" s="7" t="n">
        <v>0</v>
      </c>
      <c r="E3" s="7" t="n">
        <v>0.67</v>
      </c>
      <c r="F3" s="7" t="n">
        <v>1</v>
      </c>
      <c r="G3" s="7" t="n">
        <v>1</v>
      </c>
      <c r="H3" s="7" t="n">
        <v>0</v>
      </c>
      <c r="I3" s="7" t="n">
        <v>1</v>
      </c>
      <c r="J3" s="8" t="n">
        <v>1</v>
      </c>
      <c r="K3" s="8" t="n">
        <v>1</v>
      </c>
      <c r="L3" s="6" t="s">
        <v>45</v>
      </c>
      <c r="M3" s="6" t="s">
        <v>46</v>
      </c>
    </row>
    <row r="4" customFormat="false" ht="39.55" hidden="false" customHeight="false" outlineLevel="0" collapsed="false">
      <c r="A4" s="6" t="s">
        <v>47</v>
      </c>
      <c r="B4" s="6" t="s">
        <v>48</v>
      </c>
      <c r="C4" s="7" t="n">
        <v>0</v>
      </c>
      <c r="D4" s="7" t="n">
        <v>0.33</v>
      </c>
      <c r="E4" s="7" t="n">
        <v>0.33</v>
      </c>
      <c r="F4" s="7" t="n">
        <v>1</v>
      </c>
      <c r="G4" s="7" t="n">
        <v>1</v>
      </c>
      <c r="H4" s="7" t="n">
        <v>0</v>
      </c>
      <c r="I4" s="7" t="n">
        <v>0.67</v>
      </c>
      <c r="J4" s="8" t="n">
        <v>1</v>
      </c>
      <c r="K4" s="8" t="n">
        <v>0</v>
      </c>
      <c r="L4" s="6" t="s">
        <v>49</v>
      </c>
      <c r="M4" s="6" t="s">
        <v>50</v>
      </c>
    </row>
    <row r="5" customFormat="false" ht="26.85" hidden="false" customHeight="false" outlineLevel="0" collapsed="false">
      <c r="A5" s="6" t="s">
        <v>51</v>
      </c>
      <c r="B5" s="6" t="s">
        <v>52</v>
      </c>
      <c r="C5" s="7" t="n">
        <v>0.33</v>
      </c>
      <c r="D5" s="7" t="n">
        <v>0.33</v>
      </c>
      <c r="E5" s="7" t="n">
        <v>0</v>
      </c>
      <c r="F5" s="7" t="n">
        <v>1</v>
      </c>
      <c r="G5" s="7" t="n">
        <v>1</v>
      </c>
      <c r="H5" s="7" t="n">
        <v>0</v>
      </c>
      <c r="I5" s="7" t="n">
        <v>0.67</v>
      </c>
      <c r="J5" s="8" t="n">
        <v>1</v>
      </c>
      <c r="K5" s="8" t="n">
        <v>1</v>
      </c>
      <c r="L5" s="6" t="s">
        <v>53</v>
      </c>
      <c r="M5" s="6" t="s">
        <v>54</v>
      </c>
    </row>
    <row r="6" customFormat="false" ht="26.85" hidden="false" customHeight="false" outlineLevel="0" collapsed="false">
      <c r="A6" s="6" t="s">
        <v>55</v>
      </c>
      <c r="B6" s="6" t="s">
        <v>56</v>
      </c>
      <c r="C6" s="7" t="n">
        <v>0.33</v>
      </c>
      <c r="D6" s="7" t="n">
        <v>0.67</v>
      </c>
      <c r="E6" s="7" t="n">
        <v>0</v>
      </c>
      <c r="F6" s="7" t="n">
        <v>1</v>
      </c>
      <c r="G6" s="7" t="n">
        <v>1</v>
      </c>
      <c r="H6" s="7" t="n">
        <v>0</v>
      </c>
      <c r="I6" s="7" t="n">
        <v>0.67</v>
      </c>
      <c r="J6" s="8" t="n">
        <v>1</v>
      </c>
      <c r="K6" s="8" t="n">
        <v>0</v>
      </c>
      <c r="L6" s="6" t="s">
        <v>57</v>
      </c>
      <c r="M6" s="6" t="s">
        <v>58</v>
      </c>
    </row>
    <row r="7" customFormat="false" ht="26.85" hidden="false" customHeight="false" outlineLevel="0" collapsed="false">
      <c r="A7" s="6" t="s">
        <v>59</v>
      </c>
      <c r="B7" s="6" t="s">
        <v>60</v>
      </c>
      <c r="C7" s="7" t="n">
        <v>0.67</v>
      </c>
      <c r="D7" s="7" t="n">
        <v>0.67</v>
      </c>
      <c r="E7" s="7" t="n">
        <v>0.33</v>
      </c>
      <c r="F7" s="7" t="n">
        <v>1</v>
      </c>
      <c r="G7" s="7" t="n">
        <v>1</v>
      </c>
      <c r="H7" s="7" t="n">
        <v>0</v>
      </c>
      <c r="I7" s="7" t="n">
        <v>0.67</v>
      </c>
      <c r="J7" s="8" t="n">
        <v>1</v>
      </c>
      <c r="K7" s="8" t="n">
        <v>1</v>
      </c>
      <c r="L7" s="6" t="s">
        <v>61</v>
      </c>
      <c r="M7" s="6" t="s">
        <v>62</v>
      </c>
    </row>
    <row r="8" customFormat="false" ht="26.85" hidden="false" customHeight="false" outlineLevel="0" collapsed="false">
      <c r="A8" s="6" t="s">
        <v>63</v>
      </c>
      <c r="B8" s="6" t="s">
        <v>64</v>
      </c>
      <c r="C8" s="7" t="n">
        <v>0.67</v>
      </c>
      <c r="D8" s="7" t="n">
        <v>0.67</v>
      </c>
      <c r="E8" s="7" t="n">
        <v>0</v>
      </c>
      <c r="F8" s="7" t="n">
        <v>1</v>
      </c>
      <c r="G8" s="7" t="n">
        <v>1</v>
      </c>
      <c r="H8" s="7" t="n">
        <v>0.67</v>
      </c>
      <c r="I8" s="7" t="n">
        <v>0.67</v>
      </c>
      <c r="J8" s="8" t="n">
        <v>1</v>
      </c>
      <c r="K8" s="8" t="n">
        <v>0</v>
      </c>
      <c r="L8" s="6" t="s">
        <v>65</v>
      </c>
      <c r="M8" s="6" t="s">
        <v>66</v>
      </c>
    </row>
    <row r="9" customFormat="false" ht="26.85" hidden="false" customHeight="false" outlineLevel="0" collapsed="false">
      <c r="A9" s="6" t="s">
        <v>67</v>
      </c>
      <c r="B9" s="6" t="s">
        <v>68</v>
      </c>
      <c r="C9" s="7" t="n">
        <v>0</v>
      </c>
      <c r="D9" s="7" t="n">
        <v>0.33</v>
      </c>
      <c r="E9" s="7" t="n">
        <v>0.67</v>
      </c>
      <c r="F9" s="7" t="n">
        <v>1</v>
      </c>
      <c r="G9" s="7" t="n">
        <v>1</v>
      </c>
      <c r="H9" s="7" t="n">
        <v>0</v>
      </c>
      <c r="I9" s="7" t="n">
        <v>0</v>
      </c>
      <c r="J9" s="8" t="n">
        <v>1</v>
      </c>
      <c r="K9" s="8" t="n">
        <v>1</v>
      </c>
      <c r="L9" s="6" t="s">
        <v>69</v>
      </c>
      <c r="M9" s="6" t="s">
        <v>70</v>
      </c>
    </row>
    <row r="10" customFormat="false" ht="39.55" hidden="false" customHeight="false" outlineLevel="0" collapsed="false">
      <c r="A10" s="6" t="s">
        <v>71</v>
      </c>
      <c r="B10" s="6" t="s">
        <v>72</v>
      </c>
      <c r="C10" s="7" t="n">
        <v>0</v>
      </c>
      <c r="D10" s="7" t="n">
        <v>0.33</v>
      </c>
      <c r="E10" s="7" t="n">
        <v>0</v>
      </c>
      <c r="F10" s="7" t="n">
        <v>0</v>
      </c>
      <c r="G10" s="7" t="n">
        <v>1</v>
      </c>
      <c r="H10" s="7" t="n">
        <v>0</v>
      </c>
      <c r="I10" s="7" t="n">
        <v>0</v>
      </c>
      <c r="J10" s="8" t="n">
        <v>0</v>
      </c>
      <c r="K10" s="8" t="n">
        <v>1</v>
      </c>
      <c r="L10" s="6" t="s">
        <v>73</v>
      </c>
      <c r="M10" s="6" t="s">
        <v>74</v>
      </c>
    </row>
    <row r="11" customFormat="false" ht="26.85" hidden="false" customHeight="false" outlineLevel="0" collapsed="false">
      <c r="A11" s="6" t="s">
        <v>75</v>
      </c>
      <c r="B11" s="6" t="s">
        <v>76</v>
      </c>
      <c r="C11" s="7" t="n">
        <v>0</v>
      </c>
      <c r="D11" s="7" t="n">
        <v>0.67</v>
      </c>
      <c r="E11" s="7" t="n">
        <v>1</v>
      </c>
      <c r="F11" s="7" t="n">
        <v>0</v>
      </c>
      <c r="G11" s="7" t="n">
        <v>1</v>
      </c>
      <c r="H11" s="7" t="n">
        <v>0</v>
      </c>
      <c r="I11" s="7" t="n">
        <v>1</v>
      </c>
      <c r="J11" s="8" t="n">
        <v>0</v>
      </c>
      <c r="K11" s="8" t="n">
        <v>1</v>
      </c>
      <c r="L11" s="6" t="s">
        <v>77</v>
      </c>
      <c r="M11" s="6" t="s">
        <v>78</v>
      </c>
    </row>
    <row r="12" customFormat="false" ht="26.85" hidden="false" customHeight="false" outlineLevel="0" collapsed="false">
      <c r="A12" s="6" t="s">
        <v>79</v>
      </c>
      <c r="B12" s="6" t="s">
        <v>80</v>
      </c>
      <c r="C12" s="7" t="n">
        <v>0</v>
      </c>
      <c r="D12" s="7" t="n">
        <v>0</v>
      </c>
      <c r="E12" s="7" t="n">
        <v>1</v>
      </c>
      <c r="F12" s="7" t="n">
        <v>1</v>
      </c>
      <c r="G12" s="7" t="n">
        <v>1</v>
      </c>
      <c r="H12" s="7" t="n">
        <v>0</v>
      </c>
      <c r="I12" s="7" t="n">
        <v>1</v>
      </c>
      <c r="J12" s="8" t="n">
        <v>1</v>
      </c>
      <c r="K12" s="8" t="n">
        <v>1</v>
      </c>
      <c r="L12" s="6" t="s">
        <v>81</v>
      </c>
      <c r="M12" s="6" t="s">
        <v>82</v>
      </c>
    </row>
    <row r="13" customFormat="false" ht="52.2" hidden="false" customHeight="false" outlineLevel="0" collapsed="false">
      <c r="A13" s="6" t="s">
        <v>83</v>
      </c>
      <c r="B13" s="6" t="s">
        <v>84</v>
      </c>
      <c r="C13" s="7" t="n">
        <v>0.67</v>
      </c>
      <c r="D13" s="7" t="n">
        <v>0.67</v>
      </c>
      <c r="E13" s="7" t="n">
        <v>0.67</v>
      </c>
      <c r="F13" s="7" t="n">
        <v>1</v>
      </c>
      <c r="G13" s="7" t="n">
        <v>0</v>
      </c>
      <c r="H13" s="7" t="n">
        <v>1</v>
      </c>
      <c r="I13" s="7" t="n">
        <v>0.33</v>
      </c>
      <c r="J13" s="8" t="n">
        <v>1</v>
      </c>
      <c r="K13" s="8" t="n">
        <v>1</v>
      </c>
      <c r="L13" s="6" t="s">
        <v>85</v>
      </c>
      <c r="M13" s="6" t="s">
        <v>86</v>
      </c>
    </row>
    <row r="14" customFormat="false" ht="39.55" hidden="false" customHeight="false" outlineLevel="0" collapsed="false">
      <c r="A14" s="6" t="s">
        <v>87</v>
      </c>
      <c r="B14" s="6" t="s">
        <v>88</v>
      </c>
      <c r="C14" s="7" t="n">
        <v>1</v>
      </c>
      <c r="D14" s="7" t="n">
        <v>0.67</v>
      </c>
      <c r="E14" s="7" t="n">
        <v>1</v>
      </c>
      <c r="F14" s="7" t="n">
        <v>1</v>
      </c>
      <c r="G14" s="7" t="n">
        <v>0</v>
      </c>
      <c r="H14" s="7" t="n">
        <v>0</v>
      </c>
      <c r="I14" s="7" t="n">
        <v>1</v>
      </c>
      <c r="J14" s="8" t="n">
        <v>1</v>
      </c>
      <c r="K14" s="8" t="n">
        <v>1</v>
      </c>
      <c r="L14" s="6" t="s">
        <v>89</v>
      </c>
      <c r="M14" s="6" t="s">
        <v>90</v>
      </c>
    </row>
    <row r="15" customFormat="false" ht="26.85" hidden="false" customHeight="false" outlineLevel="0" collapsed="false">
      <c r="A15" s="6" t="s">
        <v>91</v>
      </c>
      <c r="B15" s="6" t="s">
        <v>92</v>
      </c>
      <c r="C15" s="7" t="n">
        <v>0.67</v>
      </c>
      <c r="D15" s="7" t="n">
        <v>0.67</v>
      </c>
      <c r="E15" s="7" t="n">
        <v>1</v>
      </c>
      <c r="F15" s="7" t="n">
        <v>0.67</v>
      </c>
      <c r="G15" s="7" t="n">
        <v>0</v>
      </c>
      <c r="H15" s="7" t="n">
        <v>0</v>
      </c>
      <c r="I15" s="7" t="n">
        <v>1</v>
      </c>
      <c r="J15" s="8" t="n">
        <v>1</v>
      </c>
      <c r="K15" s="8" t="n">
        <v>1</v>
      </c>
      <c r="L15" s="6" t="s">
        <v>93</v>
      </c>
      <c r="M15" s="6" t="s">
        <v>94</v>
      </c>
    </row>
    <row r="16" customFormat="false" ht="39.55" hidden="false" customHeight="false" outlineLevel="0" collapsed="false">
      <c r="A16" s="6" t="s">
        <v>95</v>
      </c>
      <c r="B16" s="6" t="s">
        <v>96</v>
      </c>
      <c r="C16" s="7" t="n">
        <v>0.67</v>
      </c>
      <c r="D16" s="7" t="n">
        <v>1</v>
      </c>
      <c r="E16" s="7" t="n">
        <v>1</v>
      </c>
      <c r="F16" s="7" t="n">
        <v>0.67</v>
      </c>
      <c r="G16" s="7" t="n">
        <v>0</v>
      </c>
      <c r="H16" s="7" t="n">
        <v>1</v>
      </c>
      <c r="I16" s="7" t="n">
        <v>0.33</v>
      </c>
      <c r="J16" s="8" t="n">
        <v>1</v>
      </c>
      <c r="K16" s="8" t="n">
        <v>1</v>
      </c>
      <c r="L16" s="6" t="s">
        <v>97</v>
      </c>
      <c r="M16" s="6" t="s">
        <v>98</v>
      </c>
    </row>
    <row r="17" customFormat="false" ht="26.85" hidden="false" customHeight="false" outlineLevel="0" collapsed="false">
      <c r="A17" s="6" t="s">
        <v>99</v>
      </c>
      <c r="B17" s="6" t="s">
        <v>100</v>
      </c>
      <c r="C17" s="7" t="n">
        <v>1</v>
      </c>
      <c r="D17" s="7" t="n">
        <v>0.67</v>
      </c>
      <c r="E17" s="7" t="n">
        <v>1</v>
      </c>
      <c r="F17" s="7" t="n">
        <v>0.33</v>
      </c>
      <c r="G17" s="7" t="n">
        <v>0</v>
      </c>
      <c r="H17" s="7" t="n">
        <v>0</v>
      </c>
      <c r="I17" s="7" t="n">
        <v>1</v>
      </c>
      <c r="J17" s="8" t="n">
        <v>1</v>
      </c>
      <c r="K17" s="8" t="n">
        <v>1</v>
      </c>
      <c r="L17" s="6" t="s">
        <v>101</v>
      </c>
      <c r="M17" s="6" t="s">
        <v>102</v>
      </c>
    </row>
    <row r="18" customFormat="false" ht="39.55" hidden="false" customHeight="false" outlineLevel="0" collapsed="false">
      <c r="A18" s="6" t="s">
        <v>103</v>
      </c>
      <c r="B18" s="6" t="s">
        <v>104</v>
      </c>
      <c r="C18" s="7" t="n">
        <v>0.67</v>
      </c>
      <c r="D18" s="7" t="n">
        <v>0.67</v>
      </c>
      <c r="E18" s="7" t="n">
        <v>1</v>
      </c>
      <c r="F18" s="7" t="n">
        <v>0.33</v>
      </c>
      <c r="G18" s="7" t="n">
        <v>0</v>
      </c>
      <c r="H18" s="7" t="n">
        <v>0</v>
      </c>
      <c r="I18" s="7" t="n">
        <v>1</v>
      </c>
      <c r="J18" s="8" t="n">
        <v>1</v>
      </c>
      <c r="K18" s="8" t="n">
        <v>1</v>
      </c>
      <c r="L18" s="6" t="s">
        <v>105</v>
      </c>
      <c r="M18" s="6" t="s">
        <v>106</v>
      </c>
    </row>
    <row r="19" customFormat="false" ht="39.55" hidden="false" customHeight="false" outlineLevel="0" collapsed="false">
      <c r="A19" s="6" t="s">
        <v>107</v>
      </c>
      <c r="B19" s="6" t="s">
        <v>108</v>
      </c>
      <c r="C19" s="7" t="n">
        <v>1</v>
      </c>
      <c r="D19" s="7" t="n">
        <v>1</v>
      </c>
      <c r="E19" s="7" t="n">
        <v>0.67</v>
      </c>
      <c r="F19" s="7" t="n">
        <v>1</v>
      </c>
      <c r="G19" s="7" t="n">
        <v>0</v>
      </c>
      <c r="H19" s="7" t="n">
        <v>0</v>
      </c>
      <c r="I19" s="7" t="n">
        <v>0.67</v>
      </c>
      <c r="J19" s="8" t="n">
        <v>1</v>
      </c>
      <c r="K19" s="8" t="n">
        <v>1</v>
      </c>
      <c r="L19" s="6" t="s">
        <v>109</v>
      </c>
      <c r="M19" s="6" t="s">
        <v>110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14"/>
    <col collapsed="false" customWidth="true" hidden="false" outlineLevel="0" max="5" min="4" style="0" width="10"/>
    <col collapsed="false" customWidth="true" hidden="false" outlineLevel="0" max="6" min="6" style="0" width="14"/>
    <col collapsed="false" customWidth="true" hidden="false" outlineLevel="0" max="7" min="7" style="0" width="34"/>
    <col collapsed="false" customWidth="true" hidden="false" outlineLevel="0" max="8" min="8" style="0" width="60"/>
    <col collapsed="false" customWidth="true" hidden="false" outlineLevel="0" max="9" min="9" style="0" width="10"/>
  </cols>
  <sheetData>
    <row r="1" customFormat="false" ht="26.85" hidden="false" customHeight="false" outlineLevel="0" collapsed="false">
      <c r="A1" s="9" t="s">
        <v>111</v>
      </c>
      <c r="B1" s="9" t="s">
        <v>34</v>
      </c>
      <c r="C1" s="9" t="s">
        <v>9</v>
      </c>
      <c r="D1" s="9" t="s">
        <v>112</v>
      </c>
      <c r="E1" s="9" t="s">
        <v>113</v>
      </c>
      <c r="F1" s="9" t="s">
        <v>114</v>
      </c>
      <c r="G1" s="9" t="s">
        <v>115</v>
      </c>
      <c r="H1" s="9" t="s">
        <v>116</v>
      </c>
      <c r="I1" s="9" t="s">
        <v>117</v>
      </c>
    </row>
    <row r="2" customFormat="false" ht="15" hidden="false" customHeight="false" outlineLevel="0" collapsed="false">
      <c r="A2" s="10" t="s">
        <v>118</v>
      </c>
      <c r="B2" s="10" t="s">
        <v>71</v>
      </c>
      <c r="C2" s="10" t="s">
        <v>15</v>
      </c>
      <c r="D2" s="10" t="n">
        <v>0.33</v>
      </c>
      <c r="E2" s="10" t="n">
        <v>0.67</v>
      </c>
      <c r="F2" s="10" t="s">
        <v>119</v>
      </c>
      <c r="G2" s="10" t="s">
        <v>120</v>
      </c>
      <c r="H2" s="10" t="s">
        <v>121</v>
      </c>
      <c r="I2" s="10" t="s">
        <v>122</v>
      </c>
    </row>
    <row r="3" customFormat="false" ht="15" hidden="false" customHeight="false" outlineLevel="0" collapsed="false">
      <c r="A3" s="8"/>
      <c r="B3" s="8"/>
      <c r="C3" s="8"/>
      <c r="D3" s="8"/>
      <c r="E3" s="8"/>
      <c r="F3" s="8"/>
      <c r="G3" s="8"/>
      <c r="H3" s="8"/>
      <c r="I3" s="8"/>
    </row>
    <row r="4" customFormat="false" ht="15" hidden="false" customHeight="false" outlineLevel="0" collapsed="false">
      <c r="A4" s="8"/>
      <c r="B4" s="8"/>
      <c r="C4" s="8"/>
      <c r="D4" s="8"/>
      <c r="E4" s="8"/>
      <c r="F4" s="8"/>
      <c r="G4" s="8"/>
      <c r="H4" s="8"/>
      <c r="I4" s="8"/>
    </row>
    <row r="5" customFormat="false" ht="15" hidden="false" customHeight="false" outlineLevel="0" collapsed="false">
      <c r="A5" s="8"/>
      <c r="B5" s="8"/>
      <c r="C5" s="8"/>
      <c r="D5" s="8"/>
      <c r="E5" s="8"/>
      <c r="F5" s="8"/>
      <c r="G5" s="8"/>
      <c r="H5" s="8"/>
      <c r="I5" s="8"/>
    </row>
    <row r="6" customFormat="false" ht="15" hidden="false" customHeight="false" outlineLevel="0" collapsed="false">
      <c r="A6" s="8"/>
      <c r="B6" s="8"/>
      <c r="C6" s="8"/>
      <c r="D6" s="8"/>
      <c r="E6" s="8"/>
      <c r="F6" s="8"/>
      <c r="G6" s="8"/>
      <c r="H6" s="8"/>
      <c r="I6" s="8"/>
    </row>
    <row r="7" customFormat="false" ht="15" hidden="false" customHeight="false" outlineLevel="0" collapsed="false">
      <c r="A7" s="8"/>
      <c r="B7" s="8"/>
      <c r="C7" s="8"/>
      <c r="D7" s="8"/>
      <c r="E7" s="8"/>
      <c r="F7" s="8"/>
      <c r="G7" s="8"/>
      <c r="H7" s="8"/>
      <c r="I7" s="8"/>
    </row>
    <row r="8" customFormat="false" ht="15" hidden="false" customHeight="false" outlineLevel="0" collapsed="false">
      <c r="A8" s="8"/>
      <c r="B8" s="8"/>
      <c r="C8" s="8"/>
      <c r="D8" s="8"/>
      <c r="E8" s="8"/>
      <c r="F8" s="8"/>
      <c r="G8" s="8"/>
      <c r="H8" s="8"/>
      <c r="I8" s="8"/>
    </row>
    <row r="9" customFormat="false" ht="15" hidden="false" customHeight="false" outlineLevel="0" collapsed="false">
      <c r="A9" s="8"/>
      <c r="B9" s="8"/>
      <c r="C9" s="8"/>
      <c r="D9" s="8"/>
      <c r="E9" s="8"/>
      <c r="F9" s="8"/>
      <c r="G9" s="8"/>
      <c r="H9" s="8"/>
      <c r="I9" s="8"/>
    </row>
    <row r="10" customFormat="false" ht="15" hidden="false" customHeight="false" outlineLevel="0" collapsed="false">
      <c r="A10" s="8"/>
      <c r="B10" s="8"/>
      <c r="C10" s="8"/>
      <c r="D10" s="8"/>
      <c r="E10" s="8"/>
      <c r="F10" s="8"/>
      <c r="G10" s="8"/>
      <c r="H10" s="8"/>
      <c r="I10" s="8"/>
    </row>
    <row r="11" customFormat="false" ht="15" hidden="false" customHeight="false" outlineLevel="0" collapsed="false">
      <c r="A11" s="8"/>
      <c r="B11" s="8"/>
      <c r="C11" s="8"/>
      <c r="D11" s="8"/>
      <c r="E11" s="8"/>
      <c r="F11" s="8"/>
      <c r="G11" s="8"/>
      <c r="H11" s="8"/>
      <c r="I11" s="8"/>
    </row>
    <row r="12" customFormat="false" ht="15" hidden="false" customHeight="false" outlineLevel="0" collapsed="false">
      <c r="A12" s="8"/>
      <c r="B12" s="8"/>
      <c r="C12" s="8"/>
      <c r="D12" s="8"/>
      <c r="E12" s="8"/>
      <c r="F12" s="8"/>
      <c r="G12" s="8"/>
      <c r="H12" s="8"/>
      <c r="I12" s="8"/>
    </row>
    <row r="13" customFormat="false" ht="15" hidden="false" customHeight="false" outlineLevel="0" collapsed="false">
      <c r="A13" s="8"/>
      <c r="B13" s="8"/>
      <c r="C13" s="8"/>
      <c r="D13" s="8"/>
      <c r="E13" s="8"/>
      <c r="F13" s="8"/>
      <c r="G13" s="8"/>
      <c r="H13" s="8"/>
      <c r="I13" s="8"/>
    </row>
    <row r="14" customFormat="false" ht="15" hidden="false" customHeight="false" outlineLevel="0" collapsed="false">
      <c r="A14" s="8"/>
      <c r="B14" s="8"/>
      <c r="C14" s="8"/>
      <c r="D14" s="8"/>
      <c r="E14" s="8"/>
      <c r="F14" s="8"/>
      <c r="G14" s="8"/>
      <c r="H14" s="8"/>
      <c r="I14" s="8"/>
    </row>
    <row r="15" customFormat="false" ht="15" hidden="false" customHeight="false" outlineLevel="0" collapsed="false">
      <c r="A15" s="8"/>
      <c r="B15" s="8"/>
      <c r="C15" s="8"/>
      <c r="D15" s="8"/>
      <c r="E15" s="8"/>
      <c r="F15" s="8"/>
      <c r="G15" s="8"/>
      <c r="H15" s="8"/>
      <c r="I15" s="8"/>
    </row>
    <row r="16" customFormat="false" ht="15" hidden="false" customHeight="false" outlineLevel="0" collapsed="false">
      <c r="A16" s="8"/>
      <c r="B16" s="8"/>
      <c r="C16" s="8"/>
      <c r="D16" s="8"/>
      <c r="E16" s="8"/>
      <c r="F16" s="8"/>
      <c r="G16" s="8"/>
      <c r="H16" s="8"/>
      <c r="I16" s="8"/>
    </row>
    <row r="17" customFormat="false" ht="15" hidden="false" customHeight="false" outlineLevel="0" collapsed="false">
      <c r="A17" s="8"/>
      <c r="B17" s="8"/>
      <c r="C17" s="8"/>
      <c r="D17" s="8"/>
      <c r="E17" s="8"/>
      <c r="F17" s="8"/>
      <c r="G17" s="8"/>
      <c r="H17" s="8"/>
      <c r="I17" s="8"/>
    </row>
    <row r="18" customFormat="false" ht="15" hidden="false" customHeight="false" outlineLevel="0" collapsed="false">
      <c r="A18" s="8"/>
      <c r="B18" s="8"/>
      <c r="C18" s="8"/>
      <c r="D18" s="8"/>
      <c r="E18" s="8"/>
      <c r="F18" s="8"/>
      <c r="G18" s="8"/>
      <c r="H18" s="8"/>
      <c r="I18" s="8"/>
    </row>
    <row r="19" customFormat="false" ht="15" hidden="false" customHeight="false" outlineLevel="0" collapsed="false">
      <c r="A19" s="8"/>
      <c r="B19" s="8"/>
      <c r="C19" s="8"/>
      <c r="D19" s="8"/>
      <c r="E19" s="8"/>
      <c r="F19" s="8"/>
      <c r="G19" s="8"/>
      <c r="H19" s="8"/>
      <c r="I19" s="8"/>
    </row>
    <row r="20" customFormat="false" ht="15" hidden="false" customHeight="false" outlineLevel="0" collapsed="false">
      <c r="A20" s="8"/>
      <c r="B20" s="8"/>
      <c r="C20" s="8"/>
      <c r="D20" s="8"/>
      <c r="E20" s="8"/>
      <c r="F20" s="8"/>
      <c r="G20" s="8"/>
      <c r="H20" s="8"/>
      <c r="I20" s="8"/>
    </row>
    <row r="21" customFormat="false" ht="15" hidden="false" customHeight="false" outlineLevel="0" collapsed="false">
      <c r="A21" s="8"/>
      <c r="B21" s="8"/>
      <c r="C21" s="8"/>
      <c r="D21" s="8"/>
      <c r="E21" s="8"/>
      <c r="F21" s="8"/>
      <c r="G21" s="8"/>
      <c r="H21" s="8"/>
      <c r="I21" s="8"/>
    </row>
    <row r="22" customFormat="false" ht="15" hidden="false" customHeight="false" outlineLevel="0" collapsed="false">
      <c r="A22" s="8"/>
      <c r="B22" s="8"/>
      <c r="C22" s="8"/>
      <c r="D22" s="8"/>
      <c r="E22" s="8"/>
      <c r="F22" s="8"/>
      <c r="G22" s="8"/>
      <c r="H22" s="8"/>
      <c r="I22" s="8"/>
    </row>
    <row r="23" customFormat="false" ht="15" hidden="false" customHeight="false" outlineLevel="0" collapsed="false">
      <c r="A23" s="8"/>
      <c r="B23" s="8"/>
      <c r="C23" s="8"/>
      <c r="D23" s="8"/>
      <c r="E23" s="8"/>
      <c r="F23" s="8"/>
      <c r="G23" s="8"/>
      <c r="H23" s="8"/>
      <c r="I23" s="8"/>
    </row>
    <row r="24" customFormat="false" ht="15" hidden="false" customHeight="false" outlineLevel="0" collapsed="false">
      <c r="A24" s="8"/>
      <c r="B24" s="8"/>
      <c r="C24" s="8"/>
      <c r="D24" s="8"/>
      <c r="E24" s="8"/>
      <c r="F24" s="8"/>
      <c r="G24" s="8"/>
      <c r="H24" s="8"/>
      <c r="I24" s="8"/>
    </row>
    <row r="25" customFormat="false" ht="15" hidden="false" customHeight="false" outlineLevel="0" collapsed="false">
      <c r="A25" s="8"/>
      <c r="B25" s="8"/>
      <c r="C25" s="8"/>
      <c r="D25" s="8"/>
      <c r="E25" s="8"/>
      <c r="F25" s="8"/>
      <c r="G25" s="8"/>
      <c r="H25" s="8"/>
      <c r="I25" s="8"/>
    </row>
    <row r="26" customFormat="false" ht="15" hidden="false" customHeight="false" outlineLevel="0" collapsed="false">
      <c r="A26" s="8"/>
      <c r="B26" s="8"/>
      <c r="C26" s="8"/>
      <c r="D26" s="8"/>
      <c r="E26" s="8"/>
      <c r="F26" s="8"/>
      <c r="G26" s="8"/>
      <c r="H26" s="8"/>
      <c r="I26" s="8"/>
    </row>
    <row r="27" customFormat="false" ht="15" hidden="false" customHeight="false" outlineLevel="0" collapsed="false">
      <c r="A27" s="8"/>
      <c r="B27" s="8"/>
      <c r="C27" s="8"/>
      <c r="D27" s="8"/>
      <c r="E27" s="8"/>
      <c r="F27" s="8"/>
      <c r="G27" s="8"/>
      <c r="H27" s="8"/>
      <c r="I27" s="8"/>
    </row>
    <row r="28" customFormat="false" ht="15" hidden="false" customHeight="false" outlineLevel="0" collapsed="false">
      <c r="A28" s="8"/>
      <c r="B28" s="8"/>
      <c r="C28" s="8"/>
      <c r="D28" s="8"/>
      <c r="E28" s="8"/>
      <c r="F28" s="8"/>
      <c r="G28" s="8"/>
      <c r="H28" s="8"/>
      <c r="I28" s="8"/>
    </row>
    <row r="29" customFormat="false" ht="15" hidden="false" customHeight="false" outlineLevel="0" collapsed="false">
      <c r="A29" s="8"/>
      <c r="B29" s="8"/>
      <c r="C29" s="8"/>
      <c r="D29" s="8"/>
      <c r="E29" s="8"/>
      <c r="F29" s="8"/>
      <c r="G29" s="8"/>
      <c r="H29" s="8"/>
      <c r="I29" s="8"/>
    </row>
    <row r="30" customFormat="false" ht="15" hidden="false" customHeight="false" outlineLevel="0" collapsed="false">
      <c r="A30" s="8"/>
      <c r="B30" s="8"/>
      <c r="C30" s="8"/>
      <c r="D30" s="8"/>
      <c r="E30" s="8"/>
      <c r="F30" s="8"/>
      <c r="G30" s="8"/>
      <c r="H30" s="8"/>
      <c r="I30" s="8"/>
    </row>
    <row r="31" customFormat="false" ht="15" hidden="false" customHeight="false" outlineLevel="0" collapsed="false">
      <c r="A31" s="8"/>
      <c r="B31" s="8"/>
      <c r="C31" s="8"/>
      <c r="D31" s="8"/>
      <c r="E31" s="8"/>
      <c r="F31" s="8"/>
      <c r="G31" s="8"/>
      <c r="H31" s="8"/>
      <c r="I31" s="8"/>
    </row>
    <row r="32" customFormat="false" ht="15" hidden="false" customHeight="false" outlineLevel="0" collapsed="false">
      <c r="A32" s="8"/>
      <c r="B32" s="8"/>
      <c r="C32" s="8"/>
      <c r="D32" s="8"/>
      <c r="E32" s="8"/>
      <c r="F32" s="8"/>
      <c r="G32" s="8"/>
      <c r="H32" s="8"/>
      <c r="I32" s="8"/>
    </row>
    <row r="33" customFormat="false" ht="15" hidden="false" customHeight="false" outlineLevel="0" collapsed="false">
      <c r="A33" s="8"/>
      <c r="B33" s="8"/>
      <c r="C33" s="8"/>
      <c r="D33" s="8"/>
      <c r="E33" s="8"/>
      <c r="F33" s="8"/>
      <c r="G33" s="8"/>
      <c r="H33" s="8"/>
      <c r="I33" s="8"/>
    </row>
    <row r="34" customFormat="false" ht="15" hidden="false" customHeight="false" outlineLevel="0" collapsed="false">
      <c r="A34" s="8"/>
      <c r="B34" s="8"/>
      <c r="C34" s="8"/>
      <c r="D34" s="8"/>
      <c r="E34" s="8"/>
      <c r="F34" s="8"/>
      <c r="G34" s="8"/>
      <c r="H34" s="8"/>
      <c r="I34" s="8"/>
    </row>
    <row r="35" customFormat="false" ht="15" hidden="false" customHeight="false" outlineLevel="0" collapsed="false">
      <c r="A35" s="8"/>
      <c r="B35" s="8"/>
      <c r="C35" s="8"/>
      <c r="D35" s="8"/>
      <c r="E35" s="8"/>
      <c r="F35" s="8"/>
      <c r="G35" s="8"/>
      <c r="H35" s="8"/>
      <c r="I35" s="8"/>
    </row>
    <row r="36" customFormat="false" ht="15" hidden="false" customHeight="false" outlineLevel="0" collapsed="false">
      <c r="A36" s="8"/>
      <c r="B36" s="8"/>
      <c r="C36" s="8"/>
      <c r="D36" s="8"/>
      <c r="E36" s="8"/>
      <c r="F36" s="8"/>
      <c r="G36" s="8"/>
      <c r="H36" s="8"/>
      <c r="I36" s="8"/>
    </row>
    <row r="37" customFormat="false" ht="15" hidden="false" customHeight="false" outlineLevel="0" collapsed="false">
      <c r="A37" s="8"/>
      <c r="B37" s="8"/>
      <c r="C37" s="8"/>
      <c r="D37" s="8"/>
      <c r="E37" s="8"/>
      <c r="F37" s="8"/>
      <c r="G37" s="8"/>
      <c r="H37" s="8"/>
      <c r="I37" s="8"/>
    </row>
    <row r="38" customFormat="false" ht="15" hidden="false" customHeight="false" outlineLevel="0" collapsed="false">
      <c r="A38" s="8"/>
      <c r="B38" s="8"/>
      <c r="C38" s="8"/>
      <c r="D38" s="8"/>
      <c r="E38" s="8"/>
      <c r="F38" s="8"/>
      <c r="G38" s="8"/>
      <c r="H38" s="8"/>
      <c r="I38" s="8"/>
    </row>
    <row r="39" customFormat="false" ht="15" hidden="false" customHeight="false" outlineLevel="0" collapsed="false">
      <c r="A39" s="8"/>
      <c r="B39" s="8"/>
      <c r="C39" s="8"/>
      <c r="D39" s="8"/>
      <c r="E39" s="8"/>
      <c r="F39" s="8"/>
      <c r="G39" s="8"/>
      <c r="H39" s="8"/>
      <c r="I39" s="8"/>
    </row>
    <row r="40" customFormat="false" ht="15" hidden="false" customHeight="false" outlineLevel="0" collapsed="false">
      <c r="A40" s="8"/>
      <c r="B40" s="8"/>
      <c r="C40" s="8"/>
      <c r="D40" s="8"/>
      <c r="E40" s="8"/>
      <c r="F40" s="8"/>
      <c r="G40" s="8"/>
      <c r="H40" s="8"/>
      <c r="I40" s="8"/>
    </row>
    <row r="41" customFormat="false" ht="15" hidden="false" customHeight="false" outlineLevel="0" collapsed="false">
      <c r="A41" s="8"/>
      <c r="B41" s="8"/>
      <c r="C41" s="8"/>
      <c r="D41" s="8"/>
      <c r="E41" s="8"/>
      <c r="F41" s="8"/>
      <c r="G41" s="8"/>
      <c r="H41" s="8"/>
      <c r="I41" s="8"/>
    </row>
    <row r="42" customFormat="false" ht="15" hidden="false" customHeight="false" outlineLevel="0" collapsed="false">
      <c r="A42" s="8"/>
      <c r="B42" s="8"/>
      <c r="C42" s="8"/>
      <c r="D42" s="8"/>
      <c r="E42" s="8"/>
      <c r="F42" s="8"/>
      <c r="G42" s="8"/>
      <c r="H42" s="8"/>
      <c r="I42" s="8"/>
    </row>
    <row r="43" customFormat="false" ht="15" hidden="false" customHeight="false" outlineLevel="0" collapsed="false">
      <c r="A43" s="8"/>
      <c r="B43" s="8"/>
      <c r="C43" s="8"/>
      <c r="D43" s="8"/>
      <c r="E43" s="8"/>
      <c r="F43" s="8"/>
      <c r="G43" s="8"/>
      <c r="H43" s="8"/>
      <c r="I43" s="8"/>
    </row>
    <row r="44" customFormat="false" ht="15" hidden="false" customHeight="false" outlineLevel="0" collapsed="false">
      <c r="A44" s="8"/>
      <c r="B44" s="8"/>
      <c r="C44" s="8"/>
      <c r="D44" s="8"/>
      <c r="E44" s="8"/>
      <c r="F44" s="8"/>
      <c r="G44" s="8"/>
      <c r="H44" s="8"/>
      <c r="I44" s="8"/>
    </row>
    <row r="45" customFormat="false" ht="15" hidden="false" customHeight="false" outlineLevel="0" collapsed="false">
      <c r="A45" s="8"/>
      <c r="B45" s="8"/>
      <c r="C45" s="8"/>
      <c r="D45" s="8"/>
      <c r="E45" s="8"/>
      <c r="F45" s="8"/>
      <c r="G45" s="8"/>
      <c r="H45" s="8"/>
      <c r="I45" s="8"/>
    </row>
    <row r="46" customFormat="false" ht="15" hidden="false" customHeight="false" outlineLevel="0" collapsed="false">
      <c r="A46" s="8"/>
      <c r="B46" s="8"/>
      <c r="C46" s="8"/>
      <c r="D46" s="8"/>
      <c r="E46" s="8"/>
      <c r="F46" s="8"/>
      <c r="G46" s="8"/>
      <c r="H46" s="8"/>
      <c r="I46" s="8"/>
    </row>
    <row r="47" customFormat="false" ht="15" hidden="false" customHeight="false" outlineLevel="0" collapsed="false">
      <c r="A47" s="8"/>
      <c r="B47" s="8"/>
      <c r="C47" s="8"/>
      <c r="D47" s="8"/>
      <c r="E47" s="8"/>
      <c r="F47" s="8"/>
      <c r="G47" s="8"/>
      <c r="H47" s="8"/>
      <c r="I47" s="8"/>
    </row>
    <row r="48" customFormat="false" ht="15" hidden="false" customHeight="false" outlineLevel="0" collapsed="false">
      <c r="A48" s="8"/>
      <c r="B48" s="8"/>
      <c r="C48" s="8"/>
      <c r="D48" s="8"/>
      <c r="E48" s="8"/>
      <c r="F48" s="8"/>
      <c r="G48" s="8"/>
      <c r="H48" s="8"/>
      <c r="I48" s="8"/>
    </row>
    <row r="49" customFormat="false" ht="15" hidden="false" customHeight="false" outlineLevel="0" collapsed="false">
      <c r="A49" s="8"/>
      <c r="B49" s="8"/>
      <c r="C49" s="8"/>
      <c r="D49" s="8"/>
      <c r="E49" s="8"/>
      <c r="F49" s="8"/>
      <c r="G49" s="8"/>
      <c r="H49" s="8"/>
      <c r="I49" s="8"/>
    </row>
    <row r="50" customFormat="false" ht="15" hidden="false" customHeight="false" outlineLevel="0" collapsed="false">
      <c r="A50" s="8"/>
      <c r="B50" s="8"/>
      <c r="C50" s="8"/>
      <c r="D50" s="8"/>
      <c r="E50" s="8"/>
      <c r="F50" s="8"/>
      <c r="G50" s="8"/>
      <c r="H50" s="8"/>
      <c r="I50" s="8"/>
    </row>
    <row r="51" customFormat="false" ht="15" hidden="false" customHeight="false" outlineLevel="0" collapsed="false">
      <c r="A51" s="8"/>
      <c r="B51" s="8"/>
      <c r="C51" s="8"/>
      <c r="D51" s="8"/>
      <c r="E51" s="8"/>
      <c r="F51" s="8"/>
      <c r="G51" s="8"/>
      <c r="H51" s="8"/>
      <c r="I51" s="8"/>
    </row>
    <row r="52" customFormat="false" ht="15" hidden="false" customHeight="false" outlineLevel="0" collapsed="false">
      <c r="A52" s="8"/>
      <c r="B52" s="8"/>
      <c r="C52" s="8"/>
      <c r="D52" s="8"/>
      <c r="E52" s="8"/>
      <c r="F52" s="8"/>
      <c r="G52" s="8"/>
      <c r="H52" s="8"/>
      <c r="I52" s="8"/>
    </row>
    <row r="53" customFormat="false" ht="15" hidden="false" customHeight="false" outlineLevel="0" collapsed="false">
      <c r="A53" s="8"/>
      <c r="B53" s="8"/>
      <c r="C53" s="8"/>
      <c r="D53" s="8"/>
      <c r="E53" s="8"/>
      <c r="F53" s="8"/>
      <c r="G53" s="8"/>
      <c r="H53" s="8"/>
      <c r="I53" s="8"/>
    </row>
    <row r="54" customFormat="false" ht="15" hidden="false" customHeight="false" outlineLevel="0" collapsed="false">
      <c r="A54" s="8"/>
      <c r="B54" s="8"/>
      <c r="C54" s="8"/>
      <c r="D54" s="8"/>
      <c r="E54" s="8"/>
      <c r="F54" s="8"/>
      <c r="G54" s="8"/>
      <c r="H54" s="8"/>
      <c r="I54" s="8"/>
    </row>
    <row r="55" customFormat="false" ht="15" hidden="false" customHeight="false" outlineLevel="0" collapsed="false">
      <c r="A55" s="8"/>
      <c r="B55" s="8"/>
      <c r="C55" s="8"/>
      <c r="D55" s="8"/>
      <c r="E55" s="8"/>
      <c r="F55" s="8"/>
      <c r="G55" s="8"/>
      <c r="H55" s="8"/>
      <c r="I55" s="8"/>
    </row>
    <row r="56" customFormat="false" ht="15" hidden="false" customHeight="false" outlineLevel="0" collapsed="false">
      <c r="A56" s="8"/>
      <c r="B56" s="8"/>
      <c r="C56" s="8"/>
      <c r="D56" s="8"/>
      <c r="E56" s="8"/>
      <c r="F56" s="8"/>
      <c r="G56" s="8"/>
      <c r="H56" s="8"/>
      <c r="I56" s="8"/>
    </row>
    <row r="57" customFormat="false" ht="15" hidden="false" customHeight="false" outlineLevel="0" collapsed="false">
      <c r="A57" s="8"/>
      <c r="B57" s="8"/>
      <c r="C57" s="8"/>
      <c r="D57" s="8"/>
      <c r="E57" s="8"/>
      <c r="F57" s="8"/>
      <c r="G57" s="8"/>
      <c r="H57" s="8"/>
      <c r="I57" s="8"/>
    </row>
    <row r="58" customFormat="false" ht="15" hidden="false" customHeight="false" outlineLevel="0" collapsed="false">
      <c r="A58" s="8"/>
      <c r="B58" s="8"/>
      <c r="C58" s="8"/>
      <c r="D58" s="8"/>
      <c r="E58" s="8"/>
      <c r="F58" s="8"/>
      <c r="G58" s="8"/>
      <c r="H58" s="8"/>
      <c r="I58" s="8"/>
    </row>
    <row r="59" customFormat="false" ht="15" hidden="false" customHeight="false" outlineLevel="0" collapsed="false">
      <c r="A59" s="8"/>
      <c r="B59" s="8"/>
      <c r="C59" s="8"/>
      <c r="D59" s="8"/>
      <c r="E59" s="8"/>
      <c r="F59" s="8"/>
      <c r="G59" s="8"/>
      <c r="H59" s="8"/>
      <c r="I59" s="8"/>
    </row>
    <row r="60" customFormat="false" ht="15" hidden="false" customHeight="false" outlineLevel="0" collapsed="false">
      <c r="A60" s="8"/>
      <c r="B60" s="8"/>
      <c r="C60" s="8"/>
      <c r="D60" s="8"/>
      <c r="E60" s="8"/>
      <c r="F60" s="8"/>
      <c r="G60" s="8"/>
      <c r="H60" s="8"/>
      <c r="I60" s="8"/>
    </row>
    <row r="61" customFormat="false" ht="15" hidden="false" customHeight="false" outlineLevel="0" collapsed="false">
      <c r="A61" s="8"/>
      <c r="B61" s="8"/>
      <c r="C61" s="8"/>
      <c r="D61" s="8"/>
      <c r="E61" s="8"/>
      <c r="F61" s="8"/>
      <c r="G61" s="8"/>
      <c r="H61" s="8"/>
      <c r="I61" s="8"/>
    </row>
    <row r="62" customFormat="false" ht="15" hidden="false" customHeight="false" outlineLevel="0" collapsed="false">
      <c r="A62" s="8"/>
      <c r="B62" s="8"/>
      <c r="C62" s="8"/>
      <c r="D62" s="8"/>
      <c r="E62" s="8"/>
      <c r="F62" s="8"/>
      <c r="G62" s="8"/>
      <c r="H62" s="8"/>
      <c r="I62" s="8"/>
    </row>
    <row r="63" customFormat="false" ht="15" hidden="false" customHeight="false" outlineLevel="0" collapsed="false">
      <c r="A63" s="8"/>
      <c r="B63" s="8"/>
      <c r="C63" s="8"/>
      <c r="D63" s="8"/>
      <c r="E63" s="8"/>
      <c r="F63" s="8"/>
      <c r="G63" s="8"/>
      <c r="H63" s="8"/>
      <c r="I63" s="8"/>
    </row>
    <row r="64" customFormat="false" ht="15" hidden="false" customHeight="false" outlineLevel="0" collapsed="false">
      <c r="A64" s="8"/>
      <c r="B64" s="8"/>
      <c r="C64" s="8"/>
      <c r="D64" s="8"/>
      <c r="E64" s="8"/>
      <c r="F64" s="8"/>
      <c r="G64" s="8"/>
      <c r="H64" s="8"/>
      <c r="I64" s="8"/>
    </row>
    <row r="65" customFormat="false" ht="15" hidden="false" customHeight="false" outlineLevel="0" collapsed="false">
      <c r="A65" s="8"/>
      <c r="B65" s="8"/>
      <c r="C65" s="8"/>
      <c r="D65" s="8"/>
      <c r="E65" s="8"/>
      <c r="F65" s="8"/>
      <c r="G65" s="8"/>
      <c r="H65" s="8"/>
      <c r="I65" s="8"/>
    </row>
    <row r="66" customFormat="false" ht="15" hidden="false" customHeight="false" outlineLevel="0" collapsed="false">
      <c r="A66" s="8"/>
      <c r="B66" s="8"/>
      <c r="C66" s="8"/>
      <c r="D66" s="8"/>
      <c r="E66" s="8"/>
      <c r="F66" s="8"/>
      <c r="G66" s="8"/>
      <c r="H66" s="8"/>
      <c r="I66" s="8"/>
    </row>
    <row r="67" customFormat="false" ht="15" hidden="false" customHeight="false" outlineLevel="0" collapsed="false">
      <c r="A67" s="8"/>
      <c r="B67" s="8"/>
      <c r="C67" s="8"/>
      <c r="D67" s="8"/>
      <c r="E67" s="8"/>
      <c r="F67" s="8"/>
      <c r="G67" s="8"/>
      <c r="H67" s="8"/>
      <c r="I67" s="8"/>
    </row>
    <row r="68" customFormat="false" ht="15" hidden="false" customHeight="false" outlineLevel="0" collapsed="false">
      <c r="A68" s="8"/>
      <c r="B68" s="8"/>
      <c r="C68" s="8"/>
      <c r="D68" s="8"/>
      <c r="E68" s="8"/>
      <c r="F68" s="8"/>
      <c r="G68" s="8"/>
      <c r="H68" s="8"/>
      <c r="I68" s="8"/>
    </row>
    <row r="69" customFormat="false" ht="15" hidden="false" customHeight="false" outlineLevel="0" collapsed="false">
      <c r="A69" s="8"/>
      <c r="B69" s="8"/>
      <c r="C69" s="8"/>
      <c r="D69" s="8"/>
      <c r="E69" s="8"/>
      <c r="F69" s="8"/>
      <c r="G69" s="8"/>
      <c r="H69" s="8"/>
      <c r="I69" s="8"/>
    </row>
    <row r="70" customFormat="false" ht="15" hidden="false" customHeight="false" outlineLevel="0" collapsed="false">
      <c r="A70" s="8"/>
      <c r="B70" s="8"/>
      <c r="C70" s="8"/>
      <c r="D70" s="8"/>
      <c r="E70" s="8"/>
      <c r="F70" s="8"/>
      <c r="G70" s="8"/>
      <c r="H70" s="8"/>
      <c r="I70" s="8"/>
    </row>
    <row r="71" customFormat="false" ht="15" hidden="false" customHeight="false" outlineLevel="0" collapsed="false">
      <c r="A71" s="8"/>
      <c r="B71" s="8"/>
      <c r="C71" s="8"/>
      <c r="D71" s="8"/>
      <c r="E71" s="8"/>
      <c r="F71" s="8"/>
      <c r="G71" s="8"/>
      <c r="H71" s="8"/>
      <c r="I71" s="8"/>
    </row>
    <row r="72" customFormat="false" ht="15" hidden="false" customHeight="false" outlineLevel="0" collapsed="false">
      <c r="A72" s="8"/>
      <c r="B72" s="8"/>
      <c r="C72" s="8"/>
      <c r="D72" s="8"/>
      <c r="E72" s="8"/>
      <c r="F72" s="8"/>
      <c r="G72" s="8"/>
      <c r="H72" s="8"/>
      <c r="I72" s="8"/>
    </row>
    <row r="73" customFormat="false" ht="15" hidden="false" customHeight="false" outlineLevel="0" collapsed="false">
      <c r="A73" s="8"/>
      <c r="B73" s="8"/>
      <c r="C73" s="8"/>
      <c r="D73" s="8"/>
      <c r="E73" s="8"/>
      <c r="F73" s="8"/>
      <c r="G73" s="8"/>
      <c r="H73" s="8"/>
      <c r="I73" s="8"/>
    </row>
    <row r="74" customFormat="false" ht="15" hidden="false" customHeight="false" outlineLevel="0" collapsed="false">
      <c r="A74" s="8"/>
      <c r="B74" s="8"/>
      <c r="C74" s="8"/>
      <c r="D74" s="8"/>
      <c r="E74" s="8"/>
      <c r="F74" s="8"/>
      <c r="G74" s="8"/>
      <c r="H74" s="8"/>
      <c r="I74" s="8"/>
    </row>
    <row r="75" customFormat="false" ht="15" hidden="false" customHeight="false" outlineLevel="0" collapsed="false">
      <c r="A75" s="8"/>
      <c r="B75" s="8"/>
      <c r="C75" s="8"/>
      <c r="D75" s="8"/>
      <c r="E75" s="8"/>
      <c r="F75" s="8"/>
      <c r="G75" s="8"/>
      <c r="H75" s="8"/>
      <c r="I75" s="8"/>
    </row>
    <row r="76" customFormat="false" ht="15" hidden="false" customHeight="false" outlineLevel="0" collapsed="false">
      <c r="A76" s="8"/>
      <c r="B76" s="8"/>
      <c r="C76" s="8"/>
      <c r="D76" s="8"/>
      <c r="E76" s="8"/>
      <c r="F76" s="8"/>
      <c r="G76" s="8"/>
      <c r="H76" s="8"/>
      <c r="I76" s="8"/>
    </row>
    <row r="77" customFormat="false" ht="15" hidden="false" customHeight="false" outlineLevel="0" collapsed="false">
      <c r="A77" s="8"/>
      <c r="B77" s="8"/>
      <c r="C77" s="8"/>
      <c r="D77" s="8"/>
      <c r="E77" s="8"/>
      <c r="F77" s="8"/>
      <c r="G77" s="8"/>
      <c r="H77" s="8"/>
      <c r="I77" s="8"/>
    </row>
    <row r="78" customFormat="false" ht="15" hidden="false" customHeight="false" outlineLevel="0" collapsed="false">
      <c r="A78" s="8"/>
      <c r="B78" s="8"/>
      <c r="C78" s="8"/>
      <c r="D78" s="8"/>
      <c r="E78" s="8"/>
      <c r="F78" s="8"/>
      <c r="G78" s="8"/>
      <c r="H78" s="8"/>
      <c r="I78" s="8"/>
    </row>
    <row r="79" customFormat="false" ht="15" hidden="false" customHeight="false" outlineLevel="0" collapsed="false">
      <c r="A79" s="8"/>
      <c r="B79" s="8"/>
      <c r="C79" s="8"/>
      <c r="D79" s="8"/>
      <c r="E79" s="8"/>
      <c r="F79" s="8"/>
      <c r="G79" s="8"/>
      <c r="H79" s="8"/>
      <c r="I79" s="8"/>
    </row>
    <row r="80" customFormat="false" ht="15" hidden="false" customHeight="false" outlineLevel="0" collapsed="false">
      <c r="A80" s="8"/>
      <c r="B80" s="8"/>
      <c r="C80" s="8"/>
      <c r="D80" s="8"/>
      <c r="E80" s="8"/>
      <c r="F80" s="8"/>
      <c r="G80" s="8"/>
      <c r="H80" s="8"/>
      <c r="I80" s="8"/>
    </row>
    <row r="81" customFormat="false" ht="15" hidden="false" customHeight="false" outlineLevel="0" collapsed="false">
      <c r="A81" s="8"/>
      <c r="B81" s="8"/>
      <c r="C81" s="8"/>
      <c r="D81" s="8"/>
      <c r="E81" s="8"/>
      <c r="F81" s="8"/>
      <c r="G81" s="8"/>
      <c r="H81" s="8"/>
      <c r="I81" s="8"/>
    </row>
    <row r="82" customFormat="false" ht="15" hidden="false" customHeight="false" outlineLevel="0" collapsed="false">
      <c r="A82" s="8"/>
      <c r="B82" s="8"/>
      <c r="C82" s="8"/>
      <c r="D82" s="8"/>
      <c r="E82" s="8"/>
      <c r="F82" s="8"/>
      <c r="G82" s="8"/>
      <c r="H82" s="8"/>
      <c r="I82" s="8"/>
    </row>
    <row r="83" customFormat="false" ht="15" hidden="false" customHeight="false" outlineLevel="0" collapsed="false">
      <c r="A83" s="8"/>
      <c r="B83" s="8"/>
      <c r="C83" s="8"/>
      <c r="D83" s="8"/>
      <c r="E83" s="8"/>
      <c r="F83" s="8"/>
      <c r="G83" s="8"/>
      <c r="H83" s="8"/>
      <c r="I83" s="8"/>
    </row>
    <row r="84" customFormat="false" ht="15" hidden="false" customHeight="false" outlineLevel="0" collapsed="false">
      <c r="A84" s="8"/>
      <c r="B84" s="8"/>
      <c r="C84" s="8"/>
      <c r="D84" s="8"/>
      <c r="E84" s="8"/>
      <c r="F84" s="8"/>
      <c r="G84" s="8"/>
      <c r="H84" s="8"/>
      <c r="I84" s="8"/>
    </row>
    <row r="85" customFormat="false" ht="15" hidden="false" customHeight="false" outlineLevel="0" collapsed="false">
      <c r="A85" s="8"/>
      <c r="B85" s="8"/>
      <c r="C85" s="8"/>
      <c r="D85" s="8"/>
      <c r="E85" s="8"/>
      <c r="F85" s="8"/>
      <c r="G85" s="8"/>
      <c r="H85" s="8"/>
      <c r="I85" s="8"/>
    </row>
    <row r="86" customFormat="false" ht="15" hidden="false" customHeight="false" outlineLevel="0" collapsed="false">
      <c r="A86" s="8"/>
      <c r="B86" s="8"/>
      <c r="C86" s="8"/>
      <c r="D86" s="8"/>
      <c r="E86" s="8"/>
      <c r="F86" s="8"/>
      <c r="G86" s="8"/>
      <c r="H86" s="8"/>
      <c r="I86" s="8"/>
    </row>
    <row r="87" customFormat="false" ht="15" hidden="false" customHeight="false" outlineLevel="0" collapsed="false">
      <c r="A87" s="8"/>
      <c r="B87" s="8"/>
      <c r="C87" s="8"/>
      <c r="D87" s="8"/>
      <c r="E87" s="8"/>
      <c r="F87" s="8"/>
      <c r="G87" s="8"/>
      <c r="H87" s="8"/>
      <c r="I87" s="8"/>
    </row>
    <row r="88" customFormat="false" ht="15" hidden="false" customHeight="false" outlineLevel="0" collapsed="false">
      <c r="A88" s="8"/>
      <c r="B88" s="8"/>
      <c r="C88" s="8"/>
      <c r="D88" s="8"/>
      <c r="E88" s="8"/>
      <c r="F88" s="8"/>
      <c r="G88" s="8"/>
      <c r="H88" s="8"/>
      <c r="I88" s="8"/>
    </row>
    <row r="89" customFormat="false" ht="15" hidden="false" customHeight="false" outlineLevel="0" collapsed="false">
      <c r="A89" s="8"/>
      <c r="B89" s="8"/>
      <c r="C89" s="8"/>
      <c r="D89" s="8"/>
      <c r="E89" s="8"/>
      <c r="F89" s="8"/>
      <c r="G89" s="8"/>
      <c r="H89" s="8"/>
      <c r="I89" s="8"/>
    </row>
    <row r="90" customFormat="false" ht="15" hidden="false" customHeight="false" outlineLevel="0" collapsed="false">
      <c r="A90" s="8"/>
      <c r="B90" s="8"/>
      <c r="C90" s="8"/>
      <c r="D90" s="8"/>
      <c r="E90" s="8"/>
      <c r="F90" s="8"/>
      <c r="G90" s="8"/>
      <c r="H90" s="8"/>
      <c r="I90" s="8"/>
    </row>
    <row r="91" customFormat="false" ht="15" hidden="false" customHeight="false" outlineLevel="0" collapsed="false">
      <c r="A91" s="8"/>
      <c r="B91" s="8"/>
      <c r="C91" s="8"/>
      <c r="D91" s="8"/>
      <c r="E91" s="8"/>
      <c r="F91" s="8"/>
      <c r="G91" s="8"/>
      <c r="H91" s="8"/>
      <c r="I91" s="8"/>
    </row>
    <row r="92" customFormat="false" ht="15" hidden="false" customHeight="false" outlineLevel="0" collapsed="false">
      <c r="A92" s="8"/>
      <c r="B92" s="8"/>
      <c r="C92" s="8"/>
      <c r="D92" s="8"/>
      <c r="E92" s="8"/>
      <c r="F92" s="8"/>
      <c r="G92" s="8"/>
      <c r="H92" s="8"/>
      <c r="I92" s="8"/>
    </row>
    <row r="93" customFormat="false" ht="15" hidden="false" customHeight="false" outlineLevel="0" collapsed="false">
      <c r="A93" s="8"/>
      <c r="B93" s="8"/>
      <c r="C93" s="8"/>
      <c r="D93" s="8"/>
      <c r="E93" s="8"/>
      <c r="F93" s="8"/>
      <c r="G93" s="8"/>
      <c r="H93" s="8"/>
      <c r="I93" s="8"/>
    </row>
    <row r="94" customFormat="false" ht="15" hidden="false" customHeight="false" outlineLevel="0" collapsed="false">
      <c r="A94" s="8"/>
      <c r="B94" s="8"/>
      <c r="C94" s="8"/>
      <c r="D94" s="8"/>
      <c r="E94" s="8"/>
      <c r="F94" s="8"/>
      <c r="G94" s="8"/>
      <c r="H94" s="8"/>
      <c r="I94" s="8"/>
    </row>
    <row r="95" customFormat="false" ht="15" hidden="false" customHeight="false" outlineLevel="0" collapsed="false">
      <c r="A95" s="8"/>
      <c r="B95" s="8"/>
      <c r="C95" s="8"/>
      <c r="D95" s="8"/>
      <c r="E95" s="8"/>
      <c r="F95" s="8"/>
      <c r="G95" s="8"/>
      <c r="H95" s="8"/>
      <c r="I95" s="8"/>
    </row>
    <row r="96" customFormat="false" ht="15" hidden="false" customHeight="false" outlineLevel="0" collapsed="false">
      <c r="A96" s="8"/>
      <c r="B96" s="8"/>
      <c r="C96" s="8"/>
      <c r="D96" s="8"/>
      <c r="E96" s="8"/>
      <c r="F96" s="8"/>
      <c r="G96" s="8"/>
      <c r="H96" s="8"/>
      <c r="I96" s="8"/>
    </row>
    <row r="97" customFormat="false" ht="15" hidden="false" customHeight="false" outlineLevel="0" collapsed="false">
      <c r="A97" s="8"/>
      <c r="B97" s="8"/>
      <c r="C97" s="8"/>
      <c r="D97" s="8"/>
      <c r="E97" s="8"/>
      <c r="F97" s="8"/>
      <c r="G97" s="8"/>
      <c r="H97" s="8"/>
      <c r="I97" s="8"/>
    </row>
    <row r="98" customFormat="false" ht="15" hidden="false" customHeight="false" outlineLevel="0" collapsed="false">
      <c r="A98" s="8"/>
      <c r="B98" s="8"/>
      <c r="C98" s="8"/>
      <c r="D98" s="8"/>
      <c r="E98" s="8"/>
      <c r="F98" s="8"/>
      <c r="G98" s="8"/>
      <c r="H98" s="8"/>
      <c r="I98" s="8"/>
    </row>
    <row r="99" customFormat="false" ht="15" hidden="false" customHeight="false" outlineLevel="0" collapsed="false">
      <c r="A99" s="8"/>
      <c r="B99" s="8"/>
      <c r="C99" s="8"/>
      <c r="D99" s="8"/>
      <c r="E99" s="8"/>
      <c r="F99" s="8"/>
      <c r="G99" s="8"/>
      <c r="H99" s="8"/>
      <c r="I99" s="8"/>
    </row>
    <row r="100" customFormat="false" ht="15" hidden="false" customHeight="false" outlineLevel="0" collapsed="false">
      <c r="A100" s="8"/>
      <c r="B100" s="8"/>
      <c r="C100" s="8"/>
      <c r="D100" s="8"/>
      <c r="E100" s="8"/>
      <c r="F100" s="8"/>
      <c r="G100" s="8"/>
      <c r="H100" s="8"/>
      <c r="I100" s="8"/>
    </row>
    <row r="101" customFormat="false" ht="15" hidden="false" customHeight="false" outlineLevel="0" collapsed="false">
      <c r="A101" s="8"/>
      <c r="B101" s="8"/>
      <c r="C101" s="8"/>
      <c r="D101" s="8"/>
      <c r="E101" s="8"/>
      <c r="F101" s="8"/>
      <c r="G101" s="8"/>
      <c r="H101" s="8"/>
      <c r="I101" s="8"/>
    </row>
    <row r="102" customFormat="false" ht="15" hidden="false" customHeight="false" outlineLevel="0" collapsed="false">
      <c r="A102" s="8"/>
      <c r="B102" s="8"/>
      <c r="C102" s="8"/>
      <c r="D102" s="8"/>
      <c r="E102" s="8"/>
      <c r="F102" s="8"/>
      <c r="G102" s="8"/>
      <c r="H102" s="8"/>
      <c r="I102" s="8"/>
    </row>
    <row r="103" customFormat="false" ht="15" hidden="false" customHeight="false" outlineLevel="0" collapsed="false">
      <c r="A103" s="8"/>
      <c r="B103" s="8"/>
      <c r="C103" s="8"/>
      <c r="D103" s="8"/>
      <c r="E103" s="8"/>
      <c r="F103" s="8"/>
      <c r="G103" s="8"/>
      <c r="H103" s="8"/>
      <c r="I103" s="8"/>
    </row>
    <row r="104" customFormat="false" ht="15" hidden="false" customHeight="false" outlineLevel="0" collapsed="false">
      <c r="A104" s="8"/>
      <c r="B104" s="8"/>
      <c r="C104" s="8"/>
      <c r="D104" s="8"/>
      <c r="E104" s="8"/>
      <c r="F104" s="8"/>
      <c r="G104" s="8"/>
      <c r="H104" s="8"/>
      <c r="I104" s="8"/>
    </row>
    <row r="105" customFormat="false" ht="15" hidden="false" customHeight="false" outlineLevel="0" collapsed="false">
      <c r="A105" s="8"/>
      <c r="B105" s="8"/>
      <c r="C105" s="8"/>
      <c r="D105" s="8"/>
      <c r="E105" s="8"/>
      <c r="F105" s="8"/>
      <c r="G105" s="8"/>
      <c r="H105" s="8"/>
      <c r="I105" s="8"/>
    </row>
    <row r="106" customFormat="false" ht="15" hidden="false" customHeight="false" outlineLevel="0" collapsed="false">
      <c r="A106" s="8"/>
      <c r="B106" s="8"/>
      <c r="C106" s="8"/>
      <c r="D106" s="8"/>
      <c r="E106" s="8"/>
      <c r="F106" s="8"/>
      <c r="G106" s="8"/>
      <c r="H106" s="8"/>
      <c r="I106" s="8"/>
    </row>
    <row r="107" customFormat="false" ht="15" hidden="false" customHeight="false" outlineLevel="0" collapsed="false">
      <c r="A107" s="8"/>
      <c r="B107" s="8"/>
      <c r="C107" s="8"/>
      <c r="D107" s="8"/>
      <c r="E107" s="8"/>
      <c r="F107" s="8"/>
      <c r="G107" s="8"/>
      <c r="H107" s="8"/>
      <c r="I107" s="8"/>
    </row>
    <row r="108" customFormat="false" ht="15" hidden="false" customHeight="false" outlineLevel="0" collapsed="false">
      <c r="A108" s="8"/>
      <c r="B108" s="8"/>
      <c r="C108" s="8"/>
      <c r="D108" s="8"/>
      <c r="E108" s="8"/>
      <c r="F108" s="8"/>
      <c r="G108" s="8"/>
      <c r="H108" s="8"/>
      <c r="I108" s="8"/>
    </row>
    <row r="109" customFormat="false" ht="15" hidden="false" customHeight="false" outlineLevel="0" collapsed="false">
      <c r="A109" s="8"/>
      <c r="B109" s="8"/>
      <c r="C109" s="8"/>
      <c r="D109" s="8"/>
      <c r="E109" s="8"/>
      <c r="F109" s="8"/>
      <c r="G109" s="8"/>
      <c r="H109" s="8"/>
      <c r="I109" s="8"/>
    </row>
    <row r="110" customFormat="false" ht="15" hidden="false" customHeight="false" outlineLevel="0" collapsed="false">
      <c r="A110" s="8"/>
      <c r="B110" s="8"/>
      <c r="C110" s="8"/>
      <c r="D110" s="8"/>
      <c r="E110" s="8"/>
      <c r="F110" s="8"/>
      <c r="G110" s="8"/>
      <c r="H110" s="8"/>
      <c r="I110" s="8"/>
    </row>
    <row r="111" customFormat="false" ht="15" hidden="false" customHeight="false" outlineLevel="0" collapsed="false">
      <c r="A111" s="8"/>
      <c r="B111" s="8"/>
      <c r="C111" s="8"/>
      <c r="D111" s="8"/>
      <c r="E111" s="8"/>
      <c r="F111" s="8"/>
      <c r="G111" s="8"/>
      <c r="H111" s="8"/>
      <c r="I111" s="8"/>
    </row>
    <row r="112" customFormat="false" ht="15" hidden="false" customHeight="false" outlineLevel="0" collapsed="false">
      <c r="A112" s="8"/>
      <c r="B112" s="8"/>
      <c r="C112" s="8"/>
      <c r="D112" s="8"/>
      <c r="E112" s="8"/>
      <c r="F112" s="8"/>
      <c r="G112" s="8"/>
      <c r="H112" s="8"/>
      <c r="I112" s="8"/>
    </row>
    <row r="113" customFormat="false" ht="15" hidden="false" customHeight="false" outlineLevel="0" collapsed="false">
      <c r="A113" s="8"/>
      <c r="B113" s="8"/>
      <c r="C113" s="8"/>
      <c r="D113" s="8"/>
      <c r="E113" s="8"/>
      <c r="F113" s="8"/>
      <c r="G113" s="8"/>
      <c r="H113" s="8"/>
      <c r="I113" s="8"/>
    </row>
    <row r="114" customFormat="false" ht="15" hidden="false" customHeight="false" outlineLevel="0" collapsed="false">
      <c r="A114" s="8"/>
      <c r="B114" s="8"/>
      <c r="C114" s="8"/>
      <c r="D114" s="8"/>
      <c r="E114" s="8"/>
      <c r="F114" s="8"/>
      <c r="G114" s="8"/>
      <c r="H114" s="8"/>
      <c r="I114" s="8"/>
    </row>
    <row r="115" customFormat="false" ht="15" hidden="false" customHeight="false" outlineLevel="0" collapsed="false">
      <c r="A115" s="8"/>
      <c r="B115" s="8"/>
      <c r="C115" s="8"/>
      <c r="D115" s="8"/>
      <c r="E115" s="8"/>
      <c r="F115" s="8"/>
      <c r="G115" s="8"/>
      <c r="H115" s="8"/>
      <c r="I115" s="8"/>
    </row>
    <row r="116" customFormat="false" ht="15" hidden="false" customHeight="false" outlineLevel="0" collapsed="false">
      <c r="A116" s="8"/>
      <c r="B116" s="8"/>
      <c r="C116" s="8"/>
      <c r="D116" s="8"/>
      <c r="E116" s="8"/>
      <c r="F116" s="8"/>
      <c r="G116" s="8"/>
      <c r="H116" s="8"/>
      <c r="I116" s="8"/>
    </row>
    <row r="117" customFormat="false" ht="15" hidden="false" customHeight="false" outlineLevel="0" collapsed="false">
      <c r="A117" s="8"/>
      <c r="B117" s="8"/>
      <c r="C117" s="8"/>
      <c r="D117" s="8"/>
      <c r="E117" s="8"/>
      <c r="F117" s="8"/>
      <c r="G117" s="8"/>
      <c r="H117" s="8"/>
      <c r="I117" s="8"/>
    </row>
    <row r="118" customFormat="false" ht="15" hidden="false" customHeight="false" outlineLevel="0" collapsed="false">
      <c r="A118" s="8"/>
      <c r="B118" s="8"/>
      <c r="C118" s="8"/>
      <c r="D118" s="8"/>
      <c r="E118" s="8"/>
      <c r="F118" s="8"/>
      <c r="G118" s="8"/>
      <c r="H118" s="8"/>
      <c r="I118" s="8"/>
    </row>
    <row r="119" customFormat="false" ht="15" hidden="false" customHeight="false" outlineLevel="0" collapsed="false">
      <c r="A119" s="8"/>
      <c r="B119" s="8"/>
      <c r="C119" s="8"/>
      <c r="D119" s="8"/>
      <c r="E119" s="8"/>
      <c r="F119" s="8"/>
      <c r="G119" s="8"/>
      <c r="H119" s="8"/>
      <c r="I119" s="8"/>
    </row>
    <row r="120" customFormat="false" ht="15" hidden="false" customHeight="false" outlineLevel="0" collapsed="false">
      <c r="A120" s="8"/>
      <c r="B120" s="8"/>
      <c r="C120" s="8"/>
      <c r="D120" s="8"/>
      <c r="E120" s="8"/>
      <c r="F120" s="8"/>
      <c r="G120" s="8"/>
      <c r="H120" s="8"/>
      <c r="I120" s="8"/>
    </row>
    <row r="121" customFormat="false" ht="15" hidden="false" customHeight="false" outlineLevel="0" collapsed="false">
      <c r="A121" s="8"/>
      <c r="B121" s="8"/>
      <c r="C121" s="8"/>
      <c r="D121" s="8"/>
      <c r="E121" s="8"/>
      <c r="F121" s="8"/>
      <c r="G121" s="8"/>
      <c r="H121" s="8"/>
      <c r="I121" s="8"/>
    </row>
    <row r="122" customFormat="false" ht="15" hidden="false" customHeight="false" outlineLevel="0" collapsed="false">
      <c r="A122" s="8"/>
      <c r="B122" s="8"/>
      <c r="C122" s="8"/>
      <c r="D122" s="8"/>
      <c r="E122" s="8"/>
      <c r="F122" s="8"/>
      <c r="G122" s="8"/>
      <c r="H122" s="8"/>
      <c r="I122" s="8"/>
    </row>
    <row r="123" customFormat="false" ht="15" hidden="false" customHeight="false" outlineLevel="0" collapsed="false">
      <c r="A123" s="8"/>
      <c r="B123" s="8"/>
      <c r="C123" s="8"/>
      <c r="D123" s="8"/>
      <c r="E123" s="8"/>
      <c r="F123" s="8"/>
      <c r="G123" s="8"/>
      <c r="H123" s="8"/>
      <c r="I123" s="8"/>
    </row>
    <row r="124" customFormat="false" ht="15" hidden="false" customHeight="false" outlineLevel="0" collapsed="false">
      <c r="A124" s="8"/>
      <c r="B124" s="8"/>
      <c r="C124" s="8"/>
      <c r="D124" s="8"/>
      <c r="E124" s="8"/>
      <c r="F124" s="8"/>
      <c r="G124" s="8"/>
      <c r="H124" s="8"/>
      <c r="I124" s="8"/>
    </row>
    <row r="125" customFormat="false" ht="15" hidden="false" customHeight="false" outlineLevel="0" collapsed="false">
      <c r="A125" s="8"/>
      <c r="B125" s="8"/>
      <c r="C125" s="8"/>
      <c r="D125" s="8"/>
      <c r="E125" s="8"/>
      <c r="F125" s="8"/>
      <c r="G125" s="8"/>
      <c r="H125" s="8"/>
      <c r="I125" s="8"/>
    </row>
    <row r="126" customFormat="false" ht="15" hidden="false" customHeight="false" outlineLevel="0" collapsed="false">
      <c r="A126" s="8"/>
      <c r="B126" s="8"/>
      <c r="C126" s="8"/>
      <c r="D126" s="8"/>
      <c r="E126" s="8"/>
      <c r="F126" s="8"/>
      <c r="G126" s="8"/>
      <c r="H126" s="8"/>
      <c r="I126" s="8"/>
    </row>
    <row r="127" customFormat="false" ht="15" hidden="false" customHeight="false" outlineLevel="0" collapsed="false">
      <c r="A127" s="8"/>
      <c r="B127" s="8"/>
      <c r="C127" s="8"/>
      <c r="D127" s="8"/>
      <c r="E127" s="8"/>
      <c r="F127" s="8"/>
      <c r="G127" s="8"/>
      <c r="H127" s="8"/>
      <c r="I127" s="8"/>
    </row>
    <row r="128" customFormat="false" ht="15" hidden="false" customHeight="false" outlineLevel="0" collapsed="false">
      <c r="A128" s="8"/>
      <c r="B128" s="8"/>
      <c r="C128" s="8"/>
      <c r="D128" s="8"/>
      <c r="E128" s="8"/>
      <c r="F128" s="8"/>
      <c r="G128" s="8"/>
      <c r="H128" s="8"/>
      <c r="I128" s="8"/>
    </row>
    <row r="129" customFormat="false" ht="15" hidden="false" customHeight="false" outlineLevel="0" collapsed="false">
      <c r="A129" s="8"/>
      <c r="B129" s="8"/>
      <c r="C129" s="8"/>
      <c r="D129" s="8"/>
      <c r="E129" s="8"/>
      <c r="F129" s="8"/>
      <c r="G129" s="8"/>
      <c r="H129" s="8"/>
      <c r="I129" s="8"/>
    </row>
    <row r="130" customFormat="false" ht="15" hidden="false" customHeight="false" outlineLevel="0" collapsed="false">
      <c r="A130" s="8"/>
      <c r="B130" s="8"/>
      <c r="C130" s="8"/>
      <c r="D130" s="8"/>
      <c r="E130" s="8"/>
      <c r="F130" s="8"/>
      <c r="G130" s="8"/>
      <c r="H130" s="8"/>
      <c r="I130" s="8"/>
    </row>
    <row r="131" customFormat="false" ht="15" hidden="false" customHeight="false" outlineLevel="0" collapsed="false">
      <c r="A131" s="8"/>
      <c r="B131" s="8"/>
      <c r="C131" s="8"/>
      <c r="D131" s="8"/>
      <c r="E131" s="8"/>
      <c r="F131" s="8"/>
      <c r="G131" s="8"/>
      <c r="H131" s="8"/>
      <c r="I131" s="8"/>
    </row>
    <row r="132" customFormat="false" ht="15" hidden="false" customHeight="false" outlineLevel="0" collapsed="false">
      <c r="A132" s="8"/>
      <c r="B132" s="8"/>
      <c r="C132" s="8"/>
      <c r="D132" s="8"/>
      <c r="E132" s="8"/>
      <c r="F132" s="8"/>
      <c r="G132" s="8"/>
      <c r="H132" s="8"/>
      <c r="I132" s="8"/>
    </row>
    <row r="133" customFormat="false" ht="15" hidden="false" customHeight="false" outlineLevel="0" collapsed="false">
      <c r="A133" s="8"/>
      <c r="B133" s="8"/>
      <c r="C133" s="8"/>
      <c r="D133" s="8"/>
      <c r="E133" s="8"/>
      <c r="F133" s="8"/>
      <c r="G133" s="8"/>
      <c r="H133" s="8"/>
      <c r="I133" s="8"/>
    </row>
    <row r="134" customFormat="false" ht="15" hidden="false" customHeight="false" outlineLevel="0" collapsed="false">
      <c r="A134" s="8"/>
      <c r="B134" s="8"/>
      <c r="C134" s="8"/>
      <c r="D134" s="8"/>
      <c r="E134" s="8"/>
      <c r="F134" s="8"/>
      <c r="G134" s="8"/>
      <c r="H134" s="8"/>
      <c r="I134" s="8"/>
    </row>
    <row r="135" customFormat="false" ht="15" hidden="false" customHeight="false" outlineLevel="0" collapsed="false">
      <c r="A135" s="8"/>
      <c r="B135" s="8"/>
      <c r="C135" s="8"/>
      <c r="D135" s="8"/>
      <c r="E135" s="8"/>
      <c r="F135" s="8"/>
      <c r="G135" s="8"/>
      <c r="H135" s="8"/>
      <c r="I135" s="8"/>
    </row>
    <row r="136" customFormat="false" ht="15" hidden="false" customHeight="false" outlineLevel="0" collapsed="false">
      <c r="A136" s="8"/>
      <c r="B136" s="8"/>
      <c r="C136" s="8"/>
      <c r="D136" s="8"/>
      <c r="E136" s="8"/>
      <c r="F136" s="8"/>
      <c r="G136" s="8"/>
      <c r="H136" s="8"/>
      <c r="I136" s="8"/>
    </row>
    <row r="137" customFormat="false" ht="15" hidden="false" customHeight="false" outlineLevel="0" collapsed="false">
      <c r="A137" s="8"/>
      <c r="B137" s="8"/>
      <c r="C137" s="8"/>
      <c r="D137" s="8"/>
      <c r="E137" s="8"/>
      <c r="F137" s="8"/>
      <c r="G137" s="8"/>
      <c r="H137" s="8"/>
      <c r="I137" s="8"/>
    </row>
    <row r="138" customFormat="false" ht="15" hidden="false" customHeight="false" outlineLevel="0" collapsed="false">
      <c r="A138" s="8"/>
      <c r="B138" s="8"/>
      <c r="C138" s="8"/>
      <c r="D138" s="8"/>
      <c r="E138" s="8"/>
      <c r="F138" s="8"/>
      <c r="G138" s="8"/>
      <c r="H138" s="8"/>
      <c r="I138" s="8"/>
    </row>
    <row r="139" customFormat="false" ht="15" hidden="false" customHeight="false" outlineLevel="0" collapsed="false">
      <c r="A139" s="8"/>
      <c r="B139" s="8"/>
      <c r="C139" s="8"/>
      <c r="D139" s="8"/>
      <c r="E139" s="8"/>
      <c r="F139" s="8"/>
      <c r="G139" s="8"/>
      <c r="H139" s="8"/>
      <c r="I139" s="8"/>
    </row>
    <row r="140" customFormat="false" ht="15" hidden="false" customHeight="false" outlineLevel="0" collapsed="false">
      <c r="A140" s="8"/>
      <c r="B140" s="8"/>
      <c r="C140" s="8"/>
      <c r="D140" s="8"/>
      <c r="E140" s="8"/>
      <c r="F140" s="8"/>
      <c r="G140" s="8"/>
      <c r="H140" s="8"/>
      <c r="I140" s="8"/>
    </row>
    <row r="141" customFormat="false" ht="15" hidden="false" customHeight="false" outlineLevel="0" collapsed="false">
      <c r="A141" s="8"/>
      <c r="B141" s="8"/>
      <c r="C141" s="8"/>
      <c r="D141" s="8"/>
      <c r="E141" s="8"/>
      <c r="F141" s="8"/>
      <c r="G141" s="8"/>
      <c r="H141" s="8"/>
      <c r="I141" s="8"/>
    </row>
    <row r="142" customFormat="false" ht="15" hidden="false" customHeight="false" outlineLevel="0" collapsed="false">
      <c r="A142" s="8"/>
      <c r="B142" s="8"/>
      <c r="C142" s="8"/>
      <c r="D142" s="8"/>
      <c r="E142" s="8"/>
      <c r="F142" s="8"/>
      <c r="G142" s="8"/>
      <c r="H142" s="8"/>
      <c r="I142" s="8"/>
    </row>
    <row r="143" customFormat="false" ht="15" hidden="false" customHeight="false" outlineLevel="0" collapsed="false">
      <c r="A143" s="8"/>
      <c r="B143" s="8"/>
      <c r="C143" s="8"/>
      <c r="D143" s="8"/>
      <c r="E143" s="8"/>
      <c r="F143" s="8"/>
      <c r="G143" s="8"/>
      <c r="H143" s="8"/>
      <c r="I143" s="8"/>
    </row>
    <row r="144" customFormat="false" ht="15" hidden="false" customHeight="false" outlineLevel="0" collapsed="false">
      <c r="A144" s="8"/>
      <c r="B144" s="8"/>
      <c r="C144" s="8"/>
      <c r="D144" s="8"/>
      <c r="E144" s="8"/>
      <c r="F144" s="8"/>
      <c r="G144" s="8"/>
      <c r="H144" s="8"/>
      <c r="I144" s="8"/>
    </row>
    <row r="145" customFormat="false" ht="15" hidden="false" customHeight="false" outlineLevel="0" collapsed="false">
      <c r="A145" s="8"/>
      <c r="B145" s="8"/>
      <c r="C145" s="8"/>
      <c r="D145" s="8"/>
      <c r="E145" s="8"/>
      <c r="F145" s="8"/>
      <c r="G145" s="8"/>
      <c r="H145" s="8"/>
      <c r="I145" s="8"/>
    </row>
    <row r="146" customFormat="false" ht="15" hidden="false" customHeight="false" outlineLevel="0" collapsed="false">
      <c r="A146" s="8"/>
      <c r="B146" s="8"/>
      <c r="C146" s="8"/>
      <c r="D146" s="8"/>
      <c r="E146" s="8"/>
      <c r="F146" s="8"/>
      <c r="G146" s="8"/>
      <c r="H146" s="8"/>
      <c r="I146" s="8"/>
    </row>
    <row r="147" customFormat="false" ht="15" hidden="false" customHeight="false" outlineLevel="0" collapsed="false">
      <c r="A147" s="8"/>
      <c r="B147" s="8"/>
      <c r="C147" s="8"/>
      <c r="D147" s="8"/>
      <c r="E147" s="8"/>
      <c r="F147" s="8"/>
      <c r="G147" s="8"/>
      <c r="H147" s="8"/>
      <c r="I147" s="8"/>
    </row>
    <row r="148" customFormat="false" ht="15" hidden="false" customHeight="false" outlineLevel="0" collapsed="false">
      <c r="A148" s="8"/>
      <c r="B148" s="8"/>
      <c r="C148" s="8"/>
      <c r="D148" s="8"/>
      <c r="E148" s="8"/>
      <c r="F148" s="8"/>
      <c r="G148" s="8"/>
      <c r="H148" s="8"/>
      <c r="I148" s="8"/>
    </row>
    <row r="149" customFormat="false" ht="15" hidden="false" customHeight="false" outlineLevel="0" collapsed="false">
      <c r="A149" s="8"/>
      <c r="B149" s="8"/>
      <c r="C149" s="8"/>
      <c r="D149" s="8"/>
      <c r="E149" s="8"/>
      <c r="F149" s="8"/>
      <c r="G149" s="8"/>
      <c r="H149" s="8"/>
      <c r="I149" s="8"/>
    </row>
    <row r="150" customFormat="false" ht="15" hidden="false" customHeight="false" outlineLevel="0" collapsed="false">
      <c r="A150" s="8"/>
      <c r="B150" s="8"/>
      <c r="C150" s="8"/>
      <c r="D150" s="8"/>
      <c r="E150" s="8"/>
      <c r="F150" s="8"/>
      <c r="G150" s="8"/>
      <c r="H150" s="8"/>
      <c r="I150" s="8"/>
    </row>
    <row r="151" customFormat="false" ht="15" hidden="false" customHeight="false" outlineLevel="0" collapsed="false">
      <c r="A151" s="8"/>
      <c r="B151" s="8"/>
      <c r="C151" s="8"/>
      <c r="D151" s="8"/>
      <c r="E151" s="8"/>
      <c r="F151" s="8"/>
      <c r="G151" s="8"/>
      <c r="H151" s="8"/>
      <c r="I151" s="8"/>
    </row>
    <row r="152" customFormat="false" ht="15" hidden="false" customHeight="false" outlineLevel="0" collapsed="false">
      <c r="A152" s="8"/>
      <c r="B152" s="8"/>
      <c r="C152" s="8"/>
      <c r="D152" s="8"/>
      <c r="E152" s="8"/>
      <c r="F152" s="8"/>
      <c r="G152" s="8"/>
      <c r="H152" s="8"/>
      <c r="I152" s="8"/>
    </row>
    <row r="153" customFormat="false" ht="15" hidden="false" customHeight="false" outlineLevel="0" collapsed="false">
      <c r="A153" s="8"/>
      <c r="B153" s="8"/>
      <c r="C153" s="8"/>
      <c r="D153" s="8"/>
      <c r="E153" s="8"/>
      <c r="F153" s="8"/>
      <c r="G153" s="8"/>
      <c r="H153" s="8"/>
      <c r="I153" s="8"/>
    </row>
    <row r="154" customFormat="false" ht="15" hidden="false" customHeight="false" outlineLevel="0" collapsed="false">
      <c r="A154" s="8"/>
      <c r="B154" s="8"/>
      <c r="C154" s="8"/>
      <c r="D154" s="8"/>
      <c r="E154" s="8"/>
      <c r="F154" s="8"/>
      <c r="G154" s="8"/>
      <c r="H154" s="8"/>
      <c r="I154" s="8"/>
    </row>
    <row r="155" customFormat="false" ht="15" hidden="false" customHeight="false" outlineLevel="0" collapsed="false">
      <c r="A155" s="8"/>
      <c r="B155" s="8"/>
      <c r="C155" s="8"/>
      <c r="D155" s="8"/>
      <c r="E155" s="8"/>
      <c r="F155" s="8"/>
      <c r="G155" s="8"/>
      <c r="H155" s="8"/>
      <c r="I155" s="8"/>
    </row>
    <row r="156" customFormat="false" ht="15" hidden="false" customHeight="false" outlineLevel="0" collapsed="false">
      <c r="A156" s="8"/>
      <c r="B156" s="8"/>
      <c r="C156" s="8"/>
      <c r="D156" s="8"/>
      <c r="E156" s="8"/>
      <c r="F156" s="8"/>
      <c r="G156" s="8"/>
      <c r="H156" s="8"/>
      <c r="I156" s="8"/>
    </row>
    <row r="157" customFormat="false" ht="15" hidden="false" customHeight="false" outlineLevel="0" collapsed="false">
      <c r="A157" s="8"/>
      <c r="B157" s="8"/>
      <c r="C157" s="8"/>
      <c r="D157" s="8"/>
      <c r="E157" s="8"/>
      <c r="F157" s="8"/>
      <c r="G157" s="8"/>
      <c r="H157" s="8"/>
      <c r="I157" s="8"/>
    </row>
    <row r="158" customFormat="false" ht="15" hidden="false" customHeight="false" outlineLevel="0" collapsed="false">
      <c r="A158" s="8"/>
      <c r="B158" s="8"/>
      <c r="C158" s="8"/>
      <c r="D158" s="8"/>
      <c r="E158" s="8"/>
      <c r="F158" s="8"/>
      <c r="G158" s="8"/>
      <c r="H158" s="8"/>
      <c r="I158" s="8"/>
    </row>
    <row r="159" customFormat="false" ht="15" hidden="false" customHeight="false" outlineLevel="0" collapsed="false">
      <c r="A159" s="8"/>
      <c r="B159" s="8"/>
      <c r="C159" s="8"/>
      <c r="D159" s="8"/>
      <c r="E159" s="8"/>
      <c r="F159" s="8"/>
      <c r="G159" s="8"/>
      <c r="H159" s="8"/>
      <c r="I159" s="8"/>
    </row>
    <row r="160" customFormat="false" ht="15" hidden="false" customHeight="false" outlineLevel="0" collapsed="false">
      <c r="A160" s="8"/>
      <c r="B160" s="8"/>
      <c r="C160" s="8"/>
      <c r="D160" s="8"/>
      <c r="E160" s="8"/>
      <c r="F160" s="8"/>
      <c r="G160" s="8"/>
      <c r="H160" s="8"/>
      <c r="I160" s="8"/>
    </row>
    <row r="161" customFormat="false" ht="15" hidden="false" customHeight="false" outlineLevel="0" collapsed="false">
      <c r="A161" s="8"/>
      <c r="B161" s="8"/>
      <c r="C161" s="8"/>
      <c r="D161" s="8"/>
      <c r="E161" s="8"/>
      <c r="F161" s="8"/>
      <c r="G161" s="8"/>
      <c r="H161" s="8"/>
      <c r="I161" s="8"/>
    </row>
    <row r="162" customFormat="false" ht="15" hidden="false" customHeight="false" outlineLevel="0" collapsed="false">
      <c r="A162" s="8"/>
      <c r="B162" s="8"/>
      <c r="C162" s="8"/>
      <c r="D162" s="8"/>
      <c r="E162" s="8"/>
      <c r="F162" s="8"/>
      <c r="G162" s="8"/>
      <c r="H162" s="8"/>
      <c r="I162" s="8"/>
    </row>
    <row r="163" customFormat="false" ht="15" hidden="false" customHeight="false" outlineLevel="0" collapsed="false">
      <c r="A163" s="8"/>
      <c r="B163" s="8"/>
      <c r="C163" s="8"/>
      <c r="D163" s="8"/>
      <c r="E163" s="8"/>
      <c r="F163" s="8"/>
      <c r="G163" s="8"/>
      <c r="H163" s="8"/>
      <c r="I163" s="8"/>
    </row>
    <row r="164" customFormat="false" ht="15" hidden="false" customHeight="false" outlineLevel="0" collapsed="false">
      <c r="A164" s="8"/>
      <c r="B164" s="8"/>
      <c r="C164" s="8"/>
      <c r="D164" s="8"/>
      <c r="E164" s="8"/>
      <c r="F164" s="8"/>
      <c r="G164" s="8"/>
      <c r="H164" s="8"/>
      <c r="I164" s="8"/>
    </row>
    <row r="165" customFormat="false" ht="15" hidden="false" customHeight="false" outlineLevel="0" collapsed="false">
      <c r="A165" s="8"/>
      <c r="B165" s="8"/>
      <c r="C165" s="8"/>
      <c r="D165" s="8"/>
      <c r="E165" s="8"/>
      <c r="F165" s="8"/>
      <c r="G165" s="8"/>
      <c r="H165" s="8"/>
      <c r="I165" s="8"/>
    </row>
    <row r="166" customFormat="false" ht="15" hidden="false" customHeight="false" outlineLevel="0" collapsed="false">
      <c r="A166" s="8"/>
      <c r="B166" s="8"/>
      <c r="C166" s="8"/>
      <c r="D166" s="8"/>
      <c r="E166" s="8"/>
      <c r="F166" s="8"/>
      <c r="G166" s="8"/>
      <c r="H166" s="8"/>
      <c r="I166" s="8"/>
    </row>
    <row r="167" customFormat="false" ht="15" hidden="false" customHeight="false" outlineLevel="0" collapsed="false">
      <c r="A167" s="8"/>
      <c r="B167" s="8"/>
      <c r="C167" s="8"/>
      <c r="D167" s="8"/>
      <c r="E167" s="8"/>
      <c r="F167" s="8"/>
      <c r="G167" s="8"/>
      <c r="H167" s="8"/>
      <c r="I167" s="8"/>
    </row>
    <row r="168" customFormat="false" ht="15" hidden="false" customHeight="false" outlineLevel="0" collapsed="false">
      <c r="A168" s="8"/>
      <c r="B168" s="8"/>
      <c r="C168" s="8"/>
      <c r="D168" s="8"/>
      <c r="E168" s="8"/>
      <c r="F168" s="8"/>
      <c r="G168" s="8"/>
      <c r="H168" s="8"/>
      <c r="I168" s="8"/>
    </row>
    <row r="169" customFormat="false" ht="15" hidden="false" customHeight="false" outlineLevel="0" collapsed="false">
      <c r="A169" s="8"/>
      <c r="B169" s="8"/>
      <c r="C169" s="8"/>
      <c r="D169" s="8"/>
      <c r="E169" s="8"/>
      <c r="F169" s="8"/>
      <c r="G169" s="8"/>
      <c r="H169" s="8"/>
      <c r="I169" s="8"/>
    </row>
    <row r="170" customFormat="false" ht="15" hidden="false" customHeight="false" outlineLevel="0" collapsed="false">
      <c r="A170" s="8"/>
      <c r="B170" s="8"/>
      <c r="C170" s="8"/>
      <c r="D170" s="8"/>
      <c r="E170" s="8"/>
      <c r="F170" s="8"/>
      <c r="G170" s="8"/>
      <c r="H170" s="8"/>
      <c r="I170" s="8"/>
    </row>
    <row r="171" customFormat="false" ht="15" hidden="false" customHeight="false" outlineLevel="0" collapsed="false">
      <c r="A171" s="8"/>
      <c r="B171" s="8"/>
      <c r="C171" s="8"/>
      <c r="D171" s="8"/>
      <c r="E171" s="8"/>
      <c r="F171" s="8"/>
      <c r="G171" s="8"/>
      <c r="H171" s="8"/>
      <c r="I171" s="8"/>
    </row>
    <row r="172" customFormat="false" ht="15" hidden="false" customHeight="false" outlineLevel="0" collapsed="false">
      <c r="A172" s="8"/>
      <c r="B172" s="8"/>
      <c r="C172" s="8"/>
      <c r="D172" s="8"/>
      <c r="E172" s="8"/>
      <c r="F172" s="8"/>
      <c r="G172" s="8"/>
      <c r="H172" s="8"/>
      <c r="I172" s="8"/>
    </row>
    <row r="173" customFormat="false" ht="15" hidden="false" customHeight="false" outlineLevel="0" collapsed="false">
      <c r="A173" s="8"/>
      <c r="B173" s="8"/>
      <c r="C173" s="8"/>
      <c r="D173" s="8"/>
      <c r="E173" s="8"/>
      <c r="F173" s="8"/>
      <c r="G173" s="8"/>
      <c r="H173" s="8"/>
      <c r="I173" s="8"/>
    </row>
    <row r="174" customFormat="false" ht="15" hidden="false" customHeight="false" outlineLevel="0" collapsed="false">
      <c r="A174" s="8"/>
      <c r="B174" s="8"/>
      <c r="C174" s="8"/>
      <c r="D174" s="8"/>
      <c r="E174" s="8"/>
      <c r="F174" s="8"/>
      <c r="G174" s="8"/>
      <c r="H174" s="8"/>
      <c r="I174" s="8"/>
    </row>
    <row r="175" customFormat="false" ht="15" hidden="false" customHeight="false" outlineLevel="0" collapsed="false">
      <c r="A175" s="8"/>
      <c r="B175" s="8"/>
      <c r="C175" s="8"/>
      <c r="D175" s="8"/>
      <c r="E175" s="8"/>
      <c r="F175" s="8"/>
      <c r="G175" s="8"/>
      <c r="H175" s="8"/>
      <c r="I175" s="8"/>
    </row>
    <row r="176" customFormat="false" ht="15" hidden="false" customHeight="false" outlineLevel="0" collapsed="false">
      <c r="A176" s="8"/>
      <c r="B176" s="8"/>
      <c r="C176" s="8"/>
      <c r="D176" s="8"/>
      <c r="E176" s="8"/>
      <c r="F176" s="8"/>
      <c r="G176" s="8"/>
      <c r="H176" s="8"/>
      <c r="I176" s="8"/>
    </row>
    <row r="177" customFormat="false" ht="15" hidden="false" customHeight="false" outlineLevel="0" collapsed="false">
      <c r="A177" s="8"/>
      <c r="B177" s="8"/>
      <c r="C177" s="8"/>
      <c r="D177" s="8"/>
      <c r="E177" s="8"/>
      <c r="F177" s="8"/>
      <c r="G177" s="8"/>
      <c r="H177" s="8"/>
      <c r="I177" s="8"/>
    </row>
    <row r="178" customFormat="false" ht="15" hidden="false" customHeight="false" outlineLevel="0" collapsed="false">
      <c r="A178" s="8"/>
      <c r="B178" s="8"/>
      <c r="C178" s="8"/>
      <c r="D178" s="8"/>
      <c r="E178" s="8"/>
      <c r="F178" s="8"/>
      <c r="G178" s="8"/>
      <c r="H178" s="8"/>
      <c r="I178" s="8"/>
    </row>
    <row r="179" customFormat="false" ht="15" hidden="false" customHeight="false" outlineLevel="0" collapsed="false">
      <c r="A179" s="8"/>
      <c r="B179" s="8"/>
      <c r="C179" s="8"/>
      <c r="D179" s="8"/>
      <c r="E179" s="8"/>
      <c r="F179" s="8"/>
      <c r="G179" s="8"/>
      <c r="H179" s="8"/>
      <c r="I179" s="8"/>
    </row>
    <row r="180" customFormat="false" ht="15" hidden="false" customHeight="false" outlineLevel="0" collapsed="false">
      <c r="A180" s="8"/>
      <c r="B180" s="8"/>
      <c r="C180" s="8"/>
      <c r="D180" s="8"/>
      <c r="E180" s="8"/>
      <c r="F180" s="8"/>
      <c r="G180" s="8"/>
      <c r="H180" s="8"/>
      <c r="I180" s="8"/>
    </row>
    <row r="181" customFormat="false" ht="15" hidden="false" customHeight="false" outlineLevel="0" collapsed="false">
      <c r="A181" s="8"/>
      <c r="B181" s="8"/>
      <c r="C181" s="8"/>
      <c r="D181" s="8"/>
      <c r="E181" s="8"/>
      <c r="F181" s="8"/>
      <c r="G181" s="8"/>
      <c r="H181" s="8"/>
      <c r="I181" s="8"/>
    </row>
    <row r="182" customFormat="false" ht="15" hidden="false" customHeight="false" outlineLevel="0" collapsed="false">
      <c r="A182" s="8"/>
      <c r="B182" s="8"/>
      <c r="C182" s="8"/>
      <c r="D182" s="8"/>
      <c r="E182" s="8"/>
      <c r="F182" s="8"/>
      <c r="G182" s="8"/>
      <c r="H182" s="8"/>
      <c r="I182" s="8"/>
    </row>
    <row r="183" customFormat="false" ht="15" hidden="false" customHeight="false" outlineLevel="0" collapsed="false">
      <c r="A183" s="8"/>
      <c r="B183" s="8"/>
      <c r="C183" s="8"/>
      <c r="D183" s="8"/>
      <c r="E183" s="8"/>
      <c r="F183" s="8"/>
      <c r="G183" s="8"/>
      <c r="H183" s="8"/>
      <c r="I183" s="8"/>
    </row>
    <row r="184" customFormat="false" ht="15" hidden="false" customHeight="false" outlineLevel="0" collapsed="false">
      <c r="A184" s="8"/>
      <c r="B184" s="8"/>
      <c r="C184" s="8"/>
      <c r="D184" s="8"/>
      <c r="E184" s="8"/>
      <c r="F184" s="8"/>
      <c r="G184" s="8"/>
      <c r="H184" s="8"/>
      <c r="I184" s="8"/>
    </row>
    <row r="185" customFormat="false" ht="15" hidden="false" customHeight="false" outlineLevel="0" collapsed="false">
      <c r="A185" s="8"/>
      <c r="B185" s="8"/>
      <c r="C185" s="8"/>
      <c r="D185" s="8"/>
      <c r="E185" s="8"/>
      <c r="F185" s="8"/>
      <c r="G185" s="8"/>
      <c r="H185" s="8"/>
      <c r="I185" s="8"/>
    </row>
    <row r="186" customFormat="false" ht="15" hidden="false" customHeight="false" outlineLevel="0" collapsed="false">
      <c r="A186" s="8"/>
      <c r="B186" s="8"/>
      <c r="C186" s="8"/>
      <c r="D186" s="8"/>
      <c r="E186" s="8"/>
      <c r="F186" s="8"/>
      <c r="G186" s="8"/>
      <c r="H186" s="8"/>
      <c r="I186" s="8"/>
    </row>
    <row r="187" customFormat="false" ht="15" hidden="false" customHeight="false" outlineLevel="0" collapsed="false">
      <c r="A187" s="8"/>
      <c r="B187" s="8"/>
      <c r="C187" s="8"/>
      <c r="D187" s="8"/>
      <c r="E187" s="8"/>
      <c r="F187" s="8"/>
      <c r="G187" s="8"/>
      <c r="H187" s="8"/>
      <c r="I187" s="8"/>
    </row>
    <row r="188" customFormat="false" ht="15" hidden="false" customHeight="false" outlineLevel="0" collapsed="false">
      <c r="A188" s="8"/>
      <c r="B188" s="8"/>
      <c r="C188" s="8"/>
      <c r="D188" s="8"/>
      <c r="E188" s="8"/>
      <c r="F188" s="8"/>
      <c r="G188" s="8"/>
      <c r="H188" s="8"/>
      <c r="I188" s="8"/>
    </row>
    <row r="189" customFormat="false" ht="15" hidden="false" customHeight="false" outlineLevel="0" collapsed="false">
      <c r="A189" s="8"/>
      <c r="B189" s="8"/>
      <c r="C189" s="8"/>
      <c r="D189" s="8"/>
      <c r="E189" s="8"/>
      <c r="F189" s="8"/>
      <c r="G189" s="8"/>
      <c r="H189" s="8"/>
      <c r="I189" s="8"/>
    </row>
    <row r="190" customFormat="false" ht="15" hidden="false" customHeight="false" outlineLevel="0" collapsed="false">
      <c r="A190" s="8"/>
      <c r="B190" s="8"/>
      <c r="C190" s="8"/>
      <c r="D190" s="8"/>
      <c r="E190" s="8"/>
      <c r="F190" s="8"/>
      <c r="G190" s="8"/>
      <c r="H190" s="8"/>
      <c r="I190" s="8"/>
    </row>
    <row r="191" customFormat="false" ht="15" hidden="false" customHeight="false" outlineLevel="0" collapsed="false">
      <c r="A191" s="8"/>
      <c r="B191" s="8"/>
      <c r="C191" s="8"/>
      <c r="D191" s="8"/>
      <c r="E191" s="8"/>
      <c r="F191" s="8"/>
      <c r="G191" s="8"/>
      <c r="H191" s="8"/>
      <c r="I191" s="8"/>
    </row>
    <row r="192" customFormat="false" ht="15" hidden="false" customHeight="false" outlineLevel="0" collapsed="false">
      <c r="A192" s="8"/>
      <c r="B192" s="8"/>
      <c r="C192" s="8"/>
      <c r="D192" s="8"/>
      <c r="E192" s="8"/>
      <c r="F192" s="8"/>
      <c r="G192" s="8"/>
      <c r="H192" s="8"/>
      <c r="I192" s="8"/>
    </row>
    <row r="193" customFormat="false" ht="15" hidden="false" customHeight="false" outlineLevel="0" collapsed="false">
      <c r="A193" s="8"/>
      <c r="B193" s="8"/>
      <c r="C193" s="8"/>
      <c r="D193" s="8"/>
      <c r="E193" s="8"/>
      <c r="F193" s="8"/>
      <c r="G193" s="8"/>
      <c r="H193" s="8"/>
      <c r="I193" s="8"/>
    </row>
    <row r="194" customFormat="false" ht="15" hidden="false" customHeight="false" outlineLevel="0" collapsed="false">
      <c r="A194" s="8"/>
      <c r="B194" s="8"/>
      <c r="C194" s="8"/>
      <c r="D194" s="8"/>
      <c r="E194" s="8"/>
      <c r="F194" s="8"/>
      <c r="G194" s="8"/>
      <c r="H194" s="8"/>
      <c r="I194" s="8"/>
    </row>
    <row r="195" customFormat="false" ht="15" hidden="false" customHeight="false" outlineLevel="0" collapsed="false">
      <c r="A195" s="8"/>
      <c r="B195" s="8"/>
      <c r="C195" s="8"/>
      <c r="D195" s="8"/>
      <c r="E195" s="8"/>
      <c r="F195" s="8"/>
      <c r="G195" s="8"/>
      <c r="H195" s="8"/>
      <c r="I195" s="8"/>
    </row>
    <row r="196" customFormat="false" ht="15" hidden="false" customHeight="false" outlineLevel="0" collapsed="false">
      <c r="A196" s="8"/>
      <c r="B196" s="8"/>
      <c r="C196" s="8"/>
      <c r="D196" s="8"/>
      <c r="E196" s="8"/>
      <c r="F196" s="8"/>
      <c r="G196" s="8"/>
      <c r="H196" s="8"/>
      <c r="I196" s="8"/>
    </row>
    <row r="197" customFormat="false" ht="15" hidden="false" customHeight="false" outlineLevel="0" collapsed="false">
      <c r="A197" s="8"/>
      <c r="B197" s="8"/>
      <c r="C197" s="8"/>
      <c r="D197" s="8"/>
      <c r="E197" s="8"/>
      <c r="F197" s="8"/>
      <c r="G197" s="8"/>
      <c r="H197" s="8"/>
      <c r="I197" s="8"/>
    </row>
    <row r="198" customFormat="false" ht="15" hidden="false" customHeight="false" outlineLevel="0" collapsed="false">
      <c r="A198" s="8"/>
      <c r="B198" s="8"/>
      <c r="C198" s="8"/>
      <c r="D198" s="8"/>
      <c r="E198" s="8"/>
      <c r="F198" s="8"/>
      <c r="G198" s="8"/>
      <c r="H198" s="8"/>
      <c r="I198" s="8"/>
    </row>
    <row r="199" customFormat="false" ht="15" hidden="false" customHeight="false" outlineLevel="0" collapsed="false">
      <c r="A199" s="8"/>
      <c r="B199" s="8"/>
      <c r="C199" s="8"/>
      <c r="D199" s="8"/>
      <c r="E199" s="8"/>
      <c r="F199" s="8"/>
      <c r="G199" s="8"/>
      <c r="H199" s="8"/>
      <c r="I199" s="8"/>
    </row>
    <row r="200" customFormat="false" ht="15" hidden="false" customHeight="false" outlineLevel="0" collapsed="false">
      <c r="A200" s="8"/>
      <c r="B200" s="8"/>
      <c r="C200" s="8"/>
      <c r="D200" s="8"/>
      <c r="E200" s="8"/>
      <c r="F200" s="8"/>
      <c r="G200" s="8"/>
      <c r="H200" s="8"/>
      <c r="I200" s="8"/>
    </row>
    <row r="202" customFormat="false" ht="15" hidden="false" customHeight="false" outlineLevel="0" collapsed="false">
      <c r="A202" s="11" t="s">
        <v>123</v>
      </c>
    </row>
  </sheetData>
  <dataValidations count="3">
    <dataValidation allowBlank="true" errorStyle="stop" operator="between" showDropDown="false" showErrorMessage="false" showInputMessage="false" sqref="C2:C200" type="list">
      <formula1>"POW,WLTH,ADV,TEACH,PROF,COURT,CONS,TEACH_KNOWN,CONS_TESTED,Codebook anchor,New case"</formula1>
      <formula2>0</formula2>
    </dataValidation>
    <dataValidation allowBlank="true" errorStyle="stop" operator="between" showDropDown="false" showErrorMessage="false" showInputMessage="false" sqref="F2:F200" type="list">
      <formula1>"Conditions,Outcome,Codebook,Case selection"</formula1>
      <formula2>0</formula2>
    </dataValidation>
    <dataValidation allowBlank="true" errorStyle="stop" operator="between" showDropDown="false" showErrorMessage="false" showInputMessage="false" sqref="D2:E200" type="list">
      <formula1>"0,0.33,0.67,1"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10" min="2" style="0" width="12"/>
    <col collapsed="false" customWidth="true" hidden="false" outlineLevel="0" max="11" min="11" style="0" width="14"/>
  </cols>
  <sheetData>
    <row r="1" customFormat="false" ht="26.85" hidden="false" customHeight="false" outlineLevel="0" collapsed="false">
      <c r="A1" s="9" t="s">
        <v>34</v>
      </c>
      <c r="B1" s="9" t="s">
        <v>13</v>
      </c>
      <c r="C1" s="9" t="s">
        <v>15</v>
      </c>
      <c r="D1" s="9" t="s">
        <v>17</v>
      </c>
      <c r="E1" s="9" t="s">
        <v>19</v>
      </c>
      <c r="F1" s="9" t="s">
        <v>21</v>
      </c>
      <c r="G1" s="9" t="s">
        <v>23</v>
      </c>
      <c r="H1" s="9" t="s">
        <v>36</v>
      </c>
      <c r="I1" s="9" t="s">
        <v>26</v>
      </c>
      <c r="J1" s="9" t="s">
        <v>28</v>
      </c>
      <c r="K1" s="9" t="s">
        <v>124</v>
      </c>
    </row>
    <row r="2" customFormat="false" ht="15" hidden="false" customHeight="false" outlineLevel="0" collapsed="false">
      <c r="A2" s="12" t="str">
        <f aca="false">IF(Scores!$A2="","",IF(ISNA(MATCH(Scores!$A2,Baseline!$A$2:$A$61,0)),Scores!A2&amp;" (new case)",Scores!A2))</f>
        <v>Zeno of Citium</v>
      </c>
      <c r="B2" s="12" t="str">
        <f aca="false">IF(Scores!$A2="","",IF(ISNA(MATCH(Scores!$A2,Baseline!$A$2:$A$61,0)),"new",IF(Scores!C2=INDEX(Baseline!C$2:C$61,MATCH(Scores!$A2,Baseline!$A$2:$A$61,0)),"",INDEX(Baseline!C$2:C$61,MATCH(Scores!$A2,Baseline!$A$2:$A$61,0))&amp;" to "&amp;Scores!C2)))</f>
        <v/>
      </c>
      <c r="C2" s="12" t="str">
        <f aca="false">IF(Scores!$A2="","",IF(ISNA(MATCH(Scores!$A2,Baseline!$A$2:$A$61,0)),"new",IF(Scores!D2=INDEX(Baseline!D$2:D$61,MATCH(Scores!$A2,Baseline!$A$2:$A$61,0)),"",INDEX(Baseline!D$2:D$61,MATCH(Scores!$A2,Baseline!$A$2:$A$61,0))&amp;" to "&amp;Scores!D2)))</f>
        <v/>
      </c>
      <c r="D2" s="12" t="str">
        <f aca="false">IF(Scores!$A2="","",IF(ISNA(MATCH(Scores!$A2,Baseline!$A$2:$A$61,0)),"new",IF(Scores!E2=INDEX(Baseline!E$2:E$61,MATCH(Scores!$A2,Baseline!$A$2:$A$61,0)),"",INDEX(Baseline!E$2:E$61,MATCH(Scores!$A2,Baseline!$A$2:$A$61,0))&amp;" to "&amp;Scores!E2)))</f>
        <v/>
      </c>
      <c r="E2" s="12" t="str">
        <f aca="false">IF(Scores!$A2="","",IF(ISNA(MATCH(Scores!$A2,Baseline!$A$2:$A$61,0)),"new",IF(Scores!F2=INDEX(Baseline!F$2:F$61,MATCH(Scores!$A2,Baseline!$A$2:$A$61,0)),"",INDEX(Baseline!F$2:F$61,MATCH(Scores!$A2,Baseline!$A$2:$A$61,0))&amp;" to "&amp;Scores!F2)))</f>
        <v/>
      </c>
      <c r="F2" s="12" t="str">
        <f aca="false">IF(Scores!$A2="","",IF(ISNA(MATCH(Scores!$A2,Baseline!$A$2:$A$61,0)),"new",IF(Scores!G2=INDEX(Baseline!G$2:G$61,MATCH(Scores!$A2,Baseline!$A$2:$A$61,0)),"",INDEX(Baseline!G$2:G$61,MATCH(Scores!$A2,Baseline!$A$2:$A$61,0))&amp;" to "&amp;Scores!G2)))</f>
        <v/>
      </c>
      <c r="G2" s="12" t="str">
        <f aca="false">IF(Scores!$A2="","",IF(ISNA(MATCH(Scores!$A2,Baseline!$A$2:$A$61,0)),"new",IF(Scores!H2=INDEX(Baseline!H$2:H$61,MATCH(Scores!$A2,Baseline!$A$2:$A$61,0)),"",INDEX(Baseline!H$2:H$61,MATCH(Scores!$A2,Baseline!$A$2:$A$61,0))&amp;" to "&amp;Scores!H2)))</f>
        <v/>
      </c>
      <c r="H2" s="12" t="str">
        <f aca="false">IF(Scores!$A2="","",IF(ISNA(MATCH(Scores!$A2,Baseline!$A$2:$A$61,0)),"new",IF(Scores!I2=INDEX(Baseline!I$2:I$61,MATCH(Scores!$A2,Baseline!$A$2:$A$61,0)),"",INDEX(Baseline!I$2:I$61,MATCH(Scores!$A2,Baseline!$A$2:$A$61,0))&amp;" to "&amp;Scores!I2)))</f>
        <v/>
      </c>
      <c r="I2" s="12" t="str">
        <f aca="false">IF(Scores!$A2="","",IF(ISNA(MATCH(Scores!$A2,Baseline!$A$2:$A$61,0)),"new",IF(Scores!J2=INDEX(Baseline!J$2:J$61,MATCH(Scores!$A2,Baseline!$A$2:$A$61,0)),"",INDEX(Baseline!J$2:J$61,MATCH(Scores!$A2,Baseline!$A$2:$A$61,0))&amp;" to "&amp;Scores!J2)))</f>
        <v/>
      </c>
      <c r="J2" s="12" t="str">
        <f aca="false">IF(Scores!$A2="","",IF(ISNA(MATCH(Scores!$A2,Baseline!$A$2:$A$61,0)),"new",IF(Scores!K2=INDEX(Baseline!K$2:K$61,MATCH(Scores!$A2,Baseline!$A$2:$A$61,0)),"",INDEX(Baseline!K$2:K$61,MATCH(Scores!$A2,Baseline!$A$2:$A$61,0))&amp;" to "&amp;Scores!K2)))</f>
        <v/>
      </c>
      <c r="K2" s="12" t="n">
        <f aca="false">IF(Scores!$A2="","",IF(ISNA(MATCH(Scores!$A2,Baseline!$A$2:$A$61,0)),"new",COUNTIF(B2:J2,"* to *")))</f>
        <v>0</v>
      </c>
    </row>
    <row r="3" customFormat="false" ht="15" hidden="false" customHeight="false" outlineLevel="0" collapsed="false">
      <c r="A3" s="12" t="str">
        <f aca="false">IF(Scores!$A3="","",IF(ISNA(MATCH(Scores!$A3,Baseline!$A$2:$A$61,0)),Scores!A3&amp;" (new case)",Scores!A3))</f>
        <v>Cleanthes</v>
      </c>
      <c r="B3" s="12" t="str">
        <f aca="false">IF(Scores!$A3="","",IF(ISNA(MATCH(Scores!$A3,Baseline!$A$2:$A$61,0)),"new",IF(Scores!C3=INDEX(Baseline!C$2:C$61,MATCH(Scores!$A3,Baseline!$A$2:$A$61,0)),"",INDEX(Baseline!C$2:C$61,MATCH(Scores!$A3,Baseline!$A$2:$A$61,0))&amp;" to "&amp;Scores!C3)))</f>
        <v/>
      </c>
      <c r="C3" s="12" t="str">
        <f aca="false">IF(Scores!$A3="","",IF(ISNA(MATCH(Scores!$A3,Baseline!$A$2:$A$61,0)),"new",IF(Scores!D3=INDEX(Baseline!D$2:D$61,MATCH(Scores!$A3,Baseline!$A$2:$A$61,0)),"",INDEX(Baseline!D$2:D$61,MATCH(Scores!$A3,Baseline!$A$2:$A$61,0))&amp;" to "&amp;Scores!D3)))</f>
        <v/>
      </c>
      <c r="D3" s="12" t="str">
        <f aca="false">IF(Scores!$A3="","",IF(ISNA(MATCH(Scores!$A3,Baseline!$A$2:$A$61,0)),"new",IF(Scores!E3=INDEX(Baseline!E$2:E$61,MATCH(Scores!$A3,Baseline!$A$2:$A$61,0)),"",INDEX(Baseline!E$2:E$61,MATCH(Scores!$A3,Baseline!$A$2:$A$61,0))&amp;" to "&amp;Scores!E3)))</f>
        <v/>
      </c>
      <c r="E3" s="12" t="str">
        <f aca="false">IF(Scores!$A3="","",IF(ISNA(MATCH(Scores!$A3,Baseline!$A$2:$A$61,0)),"new",IF(Scores!F3=INDEX(Baseline!F$2:F$61,MATCH(Scores!$A3,Baseline!$A$2:$A$61,0)),"",INDEX(Baseline!F$2:F$61,MATCH(Scores!$A3,Baseline!$A$2:$A$61,0))&amp;" to "&amp;Scores!F3)))</f>
        <v/>
      </c>
      <c r="F3" s="12" t="str">
        <f aca="false">IF(Scores!$A3="","",IF(ISNA(MATCH(Scores!$A3,Baseline!$A$2:$A$61,0)),"new",IF(Scores!G3=INDEX(Baseline!G$2:G$61,MATCH(Scores!$A3,Baseline!$A$2:$A$61,0)),"",INDEX(Baseline!G$2:G$61,MATCH(Scores!$A3,Baseline!$A$2:$A$61,0))&amp;" to "&amp;Scores!G3)))</f>
        <v/>
      </c>
      <c r="G3" s="12" t="str">
        <f aca="false">IF(Scores!$A3="","",IF(ISNA(MATCH(Scores!$A3,Baseline!$A$2:$A$61,0)),"new",IF(Scores!H3=INDEX(Baseline!H$2:H$61,MATCH(Scores!$A3,Baseline!$A$2:$A$61,0)),"",INDEX(Baseline!H$2:H$61,MATCH(Scores!$A3,Baseline!$A$2:$A$61,0))&amp;" to "&amp;Scores!H3)))</f>
        <v/>
      </c>
      <c r="H3" s="12" t="str">
        <f aca="false">IF(Scores!$A3="","",IF(ISNA(MATCH(Scores!$A3,Baseline!$A$2:$A$61,0)),"new",IF(Scores!I3=INDEX(Baseline!I$2:I$61,MATCH(Scores!$A3,Baseline!$A$2:$A$61,0)),"",INDEX(Baseline!I$2:I$61,MATCH(Scores!$A3,Baseline!$A$2:$A$61,0))&amp;" to "&amp;Scores!I3)))</f>
        <v/>
      </c>
      <c r="I3" s="12" t="str">
        <f aca="false">IF(Scores!$A3="","",IF(ISNA(MATCH(Scores!$A3,Baseline!$A$2:$A$61,0)),"new",IF(Scores!J3=INDEX(Baseline!J$2:J$61,MATCH(Scores!$A3,Baseline!$A$2:$A$61,0)),"",INDEX(Baseline!J$2:J$61,MATCH(Scores!$A3,Baseline!$A$2:$A$61,0))&amp;" to "&amp;Scores!J3)))</f>
        <v/>
      </c>
      <c r="J3" s="12" t="str">
        <f aca="false">IF(Scores!$A3="","",IF(ISNA(MATCH(Scores!$A3,Baseline!$A$2:$A$61,0)),"new",IF(Scores!K3=INDEX(Baseline!K$2:K$61,MATCH(Scores!$A3,Baseline!$A$2:$A$61,0)),"",INDEX(Baseline!K$2:K$61,MATCH(Scores!$A3,Baseline!$A$2:$A$61,0))&amp;" to "&amp;Scores!K3)))</f>
        <v/>
      </c>
      <c r="K3" s="12" t="n">
        <f aca="false">IF(Scores!$A3="","",IF(ISNA(MATCH(Scores!$A3,Baseline!$A$2:$A$61,0)),"new",COUNTIF(B3:J3,"* to *")))</f>
        <v>0</v>
      </c>
    </row>
    <row r="4" customFormat="false" ht="15" hidden="false" customHeight="false" outlineLevel="0" collapsed="false">
      <c r="A4" s="12" t="str">
        <f aca="false">IF(Scores!$A4="","",IF(ISNA(MATCH(Scores!$A4,Baseline!$A$2:$A$61,0)),Scores!A4&amp;" (new case)",Scores!A4))</f>
        <v>Chrysippus</v>
      </c>
      <c r="B4" s="12" t="str">
        <f aca="false">IF(Scores!$A4="","",IF(ISNA(MATCH(Scores!$A4,Baseline!$A$2:$A$61,0)),"new",IF(Scores!C4=INDEX(Baseline!C$2:C$61,MATCH(Scores!$A4,Baseline!$A$2:$A$61,0)),"",INDEX(Baseline!C$2:C$61,MATCH(Scores!$A4,Baseline!$A$2:$A$61,0))&amp;" to "&amp;Scores!C4)))</f>
        <v/>
      </c>
      <c r="C4" s="12" t="str">
        <f aca="false">IF(Scores!$A4="","",IF(ISNA(MATCH(Scores!$A4,Baseline!$A$2:$A$61,0)),"new",IF(Scores!D4=INDEX(Baseline!D$2:D$61,MATCH(Scores!$A4,Baseline!$A$2:$A$61,0)),"",INDEX(Baseline!D$2:D$61,MATCH(Scores!$A4,Baseline!$A$2:$A$61,0))&amp;" to "&amp;Scores!D4)))</f>
        <v/>
      </c>
      <c r="D4" s="12" t="str">
        <f aca="false">IF(Scores!$A4="","",IF(ISNA(MATCH(Scores!$A4,Baseline!$A$2:$A$61,0)),"new",IF(Scores!E4=INDEX(Baseline!E$2:E$61,MATCH(Scores!$A4,Baseline!$A$2:$A$61,0)),"",INDEX(Baseline!E$2:E$61,MATCH(Scores!$A4,Baseline!$A$2:$A$61,0))&amp;" to "&amp;Scores!E4)))</f>
        <v/>
      </c>
      <c r="E4" s="12" t="str">
        <f aca="false">IF(Scores!$A4="","",IF(ISNA(MATCH(Scores!$A4,Baseline!$A$2:$A$61,0)),"new",IF(Scores!F4=INDEX(Baseline!F$2:F$61,MATCH(Scores!$A4,Baseline!$A$2:$A$61,0)),"",INDEX(Baseline!F$2:F$61,MATCH(Scores!$A4,Baseline!$A$2:$A$61,0))&amp;" to "&amp;Scores!F4)))</f>
        <v/>
      </c>
      <c r="F4" s="12" t="str">
        <f aca="false">IF(Scores!$A4="","",IF(ISNA(MATCH(Scores!$A4,Baseline!$A$2:$A$61,0)),"new",IF(Scores!G4=INDEX(Baseline!G$2:G$61,MATCH(Scores!$A4,Baseline!$A$2:$A$61,0)),"",INDEX(Baseline!G$2:G$61,MATCH(Scores!$A4,Baseline!$A$2:$A$61,0))&amp;" to "&amp;Scores!G4)))</f>
        <v/>
      </c>
      <c r="G4" s="12" t="str">
        <f aca="false">IF(Scores!$A4="","",IF(ISNA(MATCH(Scores!$A4,Baseline!$A$2:$A$61,0)),"new",IF(Scores!H4=INDEX(Baseline!H$2:H$61,MATCH(Scores!$A4,Baseline!$A$2:$A$61,0)),"",INDEX(Baseline!H$2:H$61,MATCH(Scores!$A4,Baseline!$A$2:$A$61,0))&amp;" to "&amp;Scores!H4)))</f>
        <v/>
      </c>
      <c r="H4" s="12" t="str">
        <f aca="false">IF(Scores!$A4="","",IF(ISNA(MATCH(Scores!$A4,Baseline!$A$2:$A$61,0)),"new",IF(Scores!I4=INDEX(Baseline!I$2:I$61,MATCH(Scores!$A4,Baseline!$A$2:$A$61,0)),"",INDEX(Baseline!I$2:I$61,MATCH(Scores!$A4,Baseline!$A$2:$A$61,0))&amp;" to "&amp;Scores!I4)))</f>
        <v/>
      </c>
      <c r="I4" s="12" t="str">
        <f aca="false">IF(Scores!$A4="","",IF(ISNA(MATCH(Scores!$A4,Baseline!$A$2:$A$61,0)),"new",IF(Scores!J4=INDEX(Baseline!J$2:J$61,MATCH(Scores!$A4,Baseline!$A$2:$A$61,0)),"",INDEX(Baseline!J$2:J$61,MATCH(Scores!$A4,Baseline!$A$2:$A$61,0))&amp;" to "&amp;Scores!J4)))</f>
        <v/>
      </c>
      <c r="J4" s="12" t="str">
        <f aca="false">IF(Scores!$A4="","",IF(ISNA(MATCH(Scores!$A4,Baseline!$A$2:$A$61,0)),"new",IF(Scores!K4=INDEX(Baseline!K$2:K$61,MATCH(Scores!$A4,Baseline!$A$2:$A$61,0)),"",INDEX(Baseline!K$2:K$61,MATCH(Scores!$A4,Baseline!$A$2:$A$61,0))&amp;" to "&amp;Scores!K4)))</f>
        <v/>
      </c>
      <c r="K4" s="12" t="n">
        <f aca="false">IF(Scores!$A4="","",IF(ISNA(MATCH(Scores!$A4,Baseline!$A$2:$A$61,0)),"new",COUNTIF(B4:J4,"* to *")))</f>
        <v>0</v>
      </c>
    </row>
    <row r="5" customFormat="false" ht="15" hidden="false" customHeight="false" outlineLevel="0" collapsed="false">
      <c r="A5" s="12" t="str">
        <f aca="false">IF(Scores!$A5="","",IF(ISNA(MATCH(Scores!$A5,Baseline!$A$2:$A$61,0)),Scores!A5&amp;" (new case)",Scores!A5))</f>
        <v>Diogenes of Babylon</v>
      </c>
      <c r="B5" s="12" t="str">
        <f aca="false">IF(Scores!$A5="","",IF(ISNA(MATCH(Scores!$A5,Baseline!$A$2:$A$61,0)),"new",IF(Scores!C5=INDEX(Baseline!C$2:C$61,MATCH(Scores!$A5,Baseline!$A$2:$A$61,0)),"",INDEX(Baseline!C$2:C$61,MATCH(Scores!$A5,Baseline!$A$2:$A$61,0))&amp;" to "&amp;Scores!C5)))</f>
        <v/>
      </c>
      <c r="C5" s="12" t="str">
        <f aca="false">IF(Scores!$A5="","",IF(ISNA(MATCH(Scores!$A5,Baseline!$A$2:$A$61,0)),"new",IF(Scores!D5=INDEX(Baseline!D$2:D$61,MATCH(Scores!$A5,Baseline!$A$2:$A$61,0)),"",INDEX(Baseline!D$2:D$61,MATCH(Scores!$A5,Baseline!$A$2:$A$61,0))&amp;" to "&amp;Scores!D5)))</f>
        <v/>
      </c>
      <c r="D5" s="12" t="str">
        <f aca="false">IF(Scores!$A5="","",IF(ISNA(MATCH(Scores!$A5,Baseline!$A$2:$A$61,0)),"new",IF(Scores!E5=INDEX(Baseline!E$2:E$61,MATCH(Scores!$A5,Baseline!$A$2:$A$61,0)),"",INDEX(Baseline!E$2:E$61,MATCH(Scores!$A5,Baseline!$A$2:$A$61,0))&amp;" to "&amp;Scores!E5)))</f>
        <v/>
      </c>
      <c r="E5" s="12" t="str">
        <f aca="false">IF(Scores!$A5="","",IF(ISNA(MATCH(Scores!$A5,Baseline!$A$2:$A$61,0)),"new",IF(Scores!F5=INDEX(Baseline!F$2:F$61,MATCH(Scores!$A5,Baseline!$A$2:$A$61,0)),"",INDEX(Baseline!F$2:F$61,MATCH(Scores!$A5,Baseline!$A$2:$A$61,0))&amp;" to "&amp;Scores!F5)))</f>
        <v/>
      </c>
      <c r="F5" s="12" t="str">
        <f aca="false">IF(Scores!$A5="","",IF(ISNA(MATCH(Scores!$A5,Baseline!$A$2:$A$61,0)),"new",IF(Scores!G5=INDEX(Baseline!G$2:G$61,MATCH(Scores!$A5,Baseline!$A$2:$A$61,0)),"",INDEX(Baseline!G$2:G$61,MATCH(Scores!$A5,Baseline!$A$2:$A$61,0))&amp;" to "&amp;Scores!G5)))</f>
        <v/>
      </c>
      <c r="G5" s="12" t="str">
        <f aca="false">IF(Scores!$A5="","",IF(ISNA(MATCH(Scores!$A5,Baseline!$A$2:$A$61,0)),"new",IF(Scores!H5=INDEX(Baseline!H$2:H$61,MATCH(Scores!$A5,Baseline!$A$2:$A$61,0)),"",INDEX(Baseline!H$2:H$61,MATCH(Scores!$A5,Baseline!$A$2:$A$61,0))&amp;" to "&amp;Scores!H5)))</f>
        <v/>
      </c>
      <c r="H5" s="12" t="str">
        <f aca="false">IF(Scores!$A5="","",IF(ISNA(MATCH(Scores!$A5,Baseline!$A$2:$A$61,0)),"new",IF(Scores!I5=INDEX(Baseline!I$2:I$61,MATCH(Scores!$A5,Baseline!$A$2:$A$61,0)),"",INDEX(Baseline!I$2:I$61,MATCH(Scores!$A5,Baseline!$A$2:$A$61,0))&amp;" to "&amp;Scores!I5)))</f>
        <v/>
      </c>
      <c r="I5" s="12" t="str">
        <f aca="false">IF(Scores!$A5="","",IF(ISNA(MATCH(Scores!$A5,Baseline!$A$2:$A$61,0)),"new",IF(Scores!J5=INDEX(Baseline!J$2:J$61,MATCH(Scores!$A5,Baseline!$A$2:$A$61,0)),"",INDEX(Baseline!J$2:J$61,MATCH(Scores!$A5,Baseline!$A$2:$A$61,0))&amp;" to "&amp;Scores!J5)))</f>
        <v/>
      </c>
      <c r="J5" s="12" t="str">
        <f aca="false">IF(Scores!$A5="","",IF(ISNA(MATCH(Scores!$A5,Baseline!$A$2:$A$61,0)),"new",IF(Scores!K5=INDEX(Baseline!K$2:K$61,MATCH(Scores!$A5,Baseline!$A$2:$A$61,0)),"",INDEX(Baseline!K$2:K$61,MATCH(Scores!$A5,Baseline!$A$2:$A$61,0))&amp;" to "&amp;Scores!K5)))</f>
        <v/>
      </c>
      <c r="K5" s="12" t="n">
        <f aca="false">IF(Scores!$A5="","",IF(ISNA(MATCH(Scores!$A5,Baseline!$A$2:$A$61,0)),"new",COUNTIF(B5:J5,"* to *")))</f>
        <v>0</v>
      </c>
    </row>
    <row r="6" customFormat="false" ht="15" hidden="false" customHeight="false" outlineLevel="0" collapsed="false">
      <c r="A6" s="12" t="str">
        <f aca="false">IF(Scores!$A6="","",IF(ISNA(MATCH(Scores!$A6,Baseline!$A$2:$A$61,0)),Scores!A6&amp;" (new case)",Scores!A6))</f>
        <v>Panaetius</v>
      </c>
      <c r="B6" s="12" t="str">
        <f aca="false">IF(Scores!$A6="","",IF(ISNA(MATCH(Scores!$A6,Baseline!$A$2:$A$61,0)),"new",IF(Scores!C6=INDEX(Baseline!C$2:C$61,MATCH(Scores!$A6,Baseline!$A$2:$A$61,0)),"",INDEX(Baseline!C$2:C$61,MATCH(Scores!$A6,Baseline!$A$2:$A$61,0))&amp;" to "&amp;Scores!C6)))</f>
        <v/>
      </c>
      <c r="C6" s="12" t="str">
        <f aca="false">IF(Scores!$A6="","",IF(ISNA(MATCH(Scores!$A6,Baseline!$A$2:$A$61,0)),"new",IF(Scores!D6=INDEX(Baseline!D$2:D$61,MATCH(Scores!$A6,Baseline!$A$2:$A$61,0)),"",INDEX(Baseline!D$2:D$61,MATCH(Scores!$A6,Baseline!$A$2:$A$61,0))&amp;" to "&amp;Scores!D6)))</f>
        <v/>
      </c>
      <c r="D6" s="12" t="str">
        <f aca="false">IF(Scores!$A6="","",IF(ISNA(MATCH(Scores!$A6,Baseline!$A$2:$A$61,0)),"new",IF(Scores!E6=INDEX(Baseline!E$2:E$61,MATCH(Scores!$A6,Baseline!$A$2:$A$61,0)),"",INDEX(Baseline!E$2:E$61,MATCH(Scores!$A6,Baseline!$A$2:$A$61,0))&amp;" to "&amp;Scores!E6)))</f>
        <v/>
      </c>
      <c r="E6" s="12" t="str">
        <f aca="false">IF(Scores!$A6="","",IF(ISNA(MATCH(Scores!$A6,Baseline!$A$2:$A$61,0)),"new",IF(Scores!F6=INDEX(Baseline!F$2:F$61,MATCH(Scores!$A6,Baseline!$A$2:$A$61,0)),"",INDEX(Baseline!F$2:F$61,MATCH(Scores!$A6,Baseline!$A$2:$A$61,0))&amp;" to "&amp;Scores!F6)))</f>
        <v/>
      </c>
      <c r="F6" s="12" t="str">
        <f aca="false">IF(Scores!$A6="","",IF(ISNA(MATCH(Scores!$A6,Baseline!$A$2:$A$61,0)),"new",IF(Scores!G6=INDEX(Baseline!G$2:G$61,MATCH(Scores!$A6,Baseline!$A$2:$A$61,0)),"",INDEX(Baseline!G$2:G$61,MATCH(Scores!$A6,Baseline!$A$2:$A$61,0))&amp;" to "&amp;Scores!G6)))</f>
        <v/>
      </c>
      <c r="G6" s="12" t="str">
        <f aca="false">IF(Scores!$A6="","",IF(ISNA(MATCH(Scores!$A6,Baseline!$A$2:$A$61,0)),"new",IF(Scores!H6=INDEX(Baseline!H$2:H$61,MATCH(Scores!$A6,Baseline!$A$2:$A$61,0)),"",INDEX(Baseline!H$2:H$61,MATCH(Scores!$A6,Baseline!$A$2:$A$61,0))&amp;" to "&amp;Scores!H6)))</f>
        <v/>
      </c>
      <c r="H6" s="12" t="str">
        <f aca="false">IF(Scores!$A6="","",IF(ISNA(MATCH(Scores!$A6,Baseline!$A$2:$A$61,0)),"new",IF(Scores!I6=INDEX(Baseline!I$2:I$61,MATCH(Scores!$A6,Baseline!$A$2:$A$61,0)),"",INDEX(Baseline!I$2:I$61,MATCH(Scores!$A6,Baseline!$A$2:$A$61,0))&amp;" to "&amp;Scores!I6)))</f>
        <v/>
      </c>
      <c r="I6" s="12" t="str">
        <f aca="false">IF(Scores!$A6="","",IF(ISNA(MATCH(Scores!$A6,Baseline!$A$2:$A$61,0)),"new",IF(Scores!J6=INDEX(Baseline!J$2:J$61,MATCH(Scores!$A6,Baseline!$A$2:$A$61,0)),"",INDEX(Baseline!J$2:J$61,MATCH(Scores!$A6,Baseline!$A$2:$A$61,0))&amp;" to "&amp;Scores!J6)))</f>
        <v/>
      </c>
      <c r="J6" s="12" t="str">
        <f aca="false">IF(Scores!$A6="","",IF(ISNA(MATCH(Scores!$A6,Baseline!$A$2:$A$61,0)),"new",IF(Scores!K6=INDEX(Baseline!K$2:K$61,MATCH(Scores!$A6,Baseline!$A$2:$A$61,0)),"",INDEX(Baseline!K$2:K$61,MATCH(Scores!$A6,Baseline!$A$2:$A$61,0))&amp;" to "&amp;Scores!K6)))</f>
        <v/>
      </c>
      <c r="K6" s="12" t="n">
        <f aca="false">IF(Scores!$A6="","",IF(ISNA(MATCH(Scores!$A6,Baseline!$A$2:$A$61,0)),"new",COUNTIF(B6:J6,"* to *")))</f>
        <v>0</v>
      </c>
    </row>
    <row r="7" customFormat="false" ht="15" hidden="false" customHeight="false" outlineLevel="0" collapsed="false">
      <c r="A7" s="12" t="str">
        <f aca="false">IF(Scores!$A7="","",IF(ISNA(MATCH(Scores!$A7,Baseline!$A$2:$A$61,0)),Scores!A7&amp;" (new case)",Scores!A7))</f>
        <v>Posidonius</v>
      </c>
      <c r="B7" s="12" t="str">
        <f aca="false">IF(Scores!$A7="","",IF(ISNA(MATCH(Scores!$A7,Baseline!$A$2:$A$61,0)),"new",IF(Scores!C7=INDEX(Baseline!C$2:C$61,MATCH(Scores!$A7,Baseline!$A$2:$A$61,0)),"",INDEX(Baseline!C$2:C$61,MATCH(Scores!$A7,Baseline!$A$2:$A$61,0))&amp;" to "&amp;Scores!C7)))</f>
        <v/>
      </c>
      <c r="C7" s="12" t="str">
        <f aca="false">IF(Scores!$A7="","",IF(ISNA(MATCH(Scores!$A7,Baseline!$A$2:$A$61,0)),"new",IF(Scores!D7=INDEX(Baseline!D$2:D$61,MATCH(Scores!$A7,Baseline!$A$2:$A$61,0)),"",INDEX(Baseline!D$2:D$61,MATCH(Scores!$A7,Baseline!$A$2:$A$61,0))&amp;" to "&amp;Scores!D7)))</f>
        <v/>
      </c>
      <c r="D7" s="12" t="str">
        <f aca="false">IF(Scores!$A7="","",IF(ISNA(MATCH(Scores!$A7,Baseline!$A$2:$A$61,0)),"new",IF(Scores!E7=INDEX(Baseline!E$2:E$61,MATCH(Scores!$A7,Baseline!$A$2:$A$61,0)),"",INDEX(Baseline!E$2:E$61,MATCH(Scores!$A7,Baseline!$A$2:$A$61,0))&amp;" to "&amp;Scores!E7)))</f>
        <v/>
      </c>
      <c r="E7" s="12" t="str">
        <f aca="false">IF(Scores!$A7="","",IF(ISNA(MATCH(Scores!$A7,Baseline!$A$2:$A$61,0)),"new",IF(Scores!F7=INDEX(Baseline!F$2:F$61,MATCH(Scores!$A7,Baseline!$A$2:$A$61,0)),"",INDEX(Baseline!F$2:F$61,MATCH(Scores!$A7,Baseline!$A$2:$A$61,0))&amp;" to "&amp;Scores!F7)))</f>
        <v/>
      </c>
      <c r="F7" s="12" t="str">
        <f aca="false">IF(Scores!$A7="","",IF(ISNA(MATCH(Scores!$A7,Baseline!$A$2:$A$61,0)),"new",IF(Scores!G7=INDEX(Baseline!G$2:G$61,MATCH(Scores!$A7,Baseline!$A$2:$A$61,0)),"",INDEX(Baseline!G$2:G$61,MATCH(Scores!$A7,Baseline!$A$2:$A$61,0))&amp;" to "&amp;Scores!G7)))</f>
        <v/>
      </c>
      <c r="G7" s="12" t="str">
        <f aca="false">IF(Scores!$A7="","",IF(ISNA(MATCH(Scores!$A7,Baseline!$A$2:$A$61,0)),"new",IF(Scores!H7=INDEX(Baseline!H$2:H$61,MATCH(Scores!$A7,Baseline!$A$2:$A$61,0)),"",INDEX(Baseline!H$2:H$61,MATCH(Scores!$A7,Baseline!$A$2:$A$61,0))&amp;" to "&amp;Scores!H7)))</f>
        <v/>
      </c>
      <c r="H7" s="12" t="str">
        <f aca="false">IF(Scores!$A7="","",IF(ISNA(MATCH(Scores!$A7,Baseline!$A$2:$A$61,0)),"new",IF(Scores!I7=INDEX(Baseline!I$2:I$61,MATCH(Scores!$A7,Baseline!$A$2:$A$61,0)),"",INDEX(Baseline!I$2:I$61,MATCH(Scores!$A7,Baseline!$A$2:$A$61,0))&amp;" to "&amp;Scores!I7)))</f>
        <v/>
      </c>
      <c r="I7" s="12" t="str">
        <f aca="false">IF(Scores!$A7="","",IF(ISNA(MATCH(Scores!$A7,Baseline!$A$2:$A$61,0)),"new",IF(Scores!J7=INDEX(Baseline!J$2:J$61,MATCH(Scores!$A7,Baseline!$A$2:$A$61,0)),"",INDEX(Baseline!J$2:J$61,MATCH(Scores!$A7,Baseline!$A$2:$A$61,0))&amp;" to "&amp;Scores!J7)))</f>
        <v/>
      </c>
      <c r="J7" s="12" t="str">
        <f aca="false">IF(Scores!$A7="","",IF(ISNA(MATCH(Scores!$A7,Baseline!$A$2:$A$61,0)),"new",IF(Scores!K7=INDEX(Baseline!K$2:K$61,MATCH(Scores!$A7,Baseline!$A$2:$A$61,0)),"",INDEX(Baseline!K$2:K$61,MATCH(Scores!$A7,Baseline!$A$2:$A$61,0))&amp;" to "&amp;Scores!K7)))</f>
        <v/>
      </c>
      <c r="K7" s="12" t="n">
        <f aca="false">IF(Scores!$A7="","",IF(ISNA(MATCH(Scores!$A7,Baseline!$A$2:$A$61,0)),"new",COUNTIF(B7:J7,"* to *")))</f>
        <v>0</v>
      </c>
    </row>
    <row r="8" customFormat="false" ht="15" hidden="false" customHeight="false" outlineLevel="0" collapsed="false">
      <c r="A8" s="12" t="str">
        <f aca="false">IF(Scores!$A8="","",IF(ISNA(MATCH(Scores!$A8,Baseline!$A$2:$A$61,0)),Scores!A8&amp;" (new case)",Scores!A8))</f>
        <v>Athenodorus Cananites</v>
      </c>
      <c r="B8" s="12" t="str">
        <f aca="false">IF(Scores!$A8="","",IF(ISNA(MATCH(Scores!$A8,Baseline!$A$2:$A$61,0)),"new",IF(Scores!C8=INDEX(Baseline!C$2:C$61,MATCH(Scores!$A8,Baseline!$A$2:$A$61,0)),"",INDEX(Baseline!C$2:C$61,MATCH(Scores!$A8,Baseline!$A$2:$A$61,0))&amp;" to "&amp;Scores!C8)))</f>
        <v/>
      </c>
      <c r="C8" s="12" t="str">
        <f aca="false">IF(Scores!$A8="","",IF(ISNA(MATCH(Scores!$A8,Baseline!$A$2:$A$61,0)),"new",IF(Scores!D8=INDEX(Baseline!D$2:D$61,MATCH(Scores!$A8,Baseline!$A$2:$A$61,0)),"",INDEX(Baseline!D$2:D$61,MATCH(Scores!$A8,Baseline!$A$2:$A$61,0))&amp;" to "&amp;Scores!D8)))</f>
        <v/>
      </c>
      <c r="D8" s="12" t="str">
        <f aca="false">IF(Scores!$A8="","",IF(ISNA(MATCH(Scores!$A8,Baseline!$A$2:$A$61,0)),"new",IF(Scores!E8=INDEX(Baseline!E$2:E$61,MATCH(Scores!$A8,Baseline!$A$2:$A$61,0)),"",INDEX(Baseline!E$2:E$61,MATCH(Scores!$A8,Baseline!$A$2:$A$61,0))&amp;" to "&amp;Scores!E8)))</f>
        <v/>
      </c>
      <c r="E8" s="12" t="str">
        <f aca="false">IF(Scores!$A8="","",IF(ISNA(MATCH(Scores!$A8,Baseline!$A$2:$A$61,0)),"new",IF(Scores!F8=INDEX(Baseline!F$2:F$61,MATCH(Scores!$A8,Baseline!$A$2:$A$61,0)),"",INDEX(Baseline!F$2:F$61,MATCH(Scores!$A8,Baseline!$A$2:$A$61,0))&amp;" to "&amp;Scores!F8)))</f>
        <v/>
      </c>
      <c r="F8" s="12" t="str">
        <f aca="false">IF(Scores!$A8="","",IF(ISNA(MATCH(Scores!$A8,Baseline!$A$2:$A$61,0)),"new",IF(Scores!G8=INDEX(Baseline!G$2:G$61,MATCH(Scores!$A8,Baseline!$A$2:$A$61,0)),"",INDEX(Baseline!G$2:G$61,MATCH(Scores!$A8,Baseline!$A$2:$A$61,0))&amp;" to "&amp;Scores!G8)))</f>
        <v/>
      </c>
      <c r="G8" s="12" t="str">
        <f aca="false">IF(Scores!$A8="","",IF(ISNA(MATCH(Scores!$A8,Baseline!$A$2:$A$61,0)),"new",IF(Scores!H8=INDEX(Baseline!H$2:H$61,MATCH(Scores!$A8,Baseline!$A$2:$A$61,0)),"",INDEX(Baseline!H$2:H$61,MATCH(Scores!$A8,Baseline!$A$2:$A$61,0))&amp;" to "&amp;Scores!H8)))</f>
        <v/>
      </c>
      <c r="H8" s="12" t="str">
        <f aca="false">IF(Scores!$A8="","",IF(ISNA(MATCH(Scores!$A8,Baseline!$A$2:$A$61,0)),"new",IF(Scores!I8=INDEX(Baseline!I$2:I$61,MATCH(Scores!$A8,Baseline!$A$2:$A$61,0)),"",INDEX(Baseline!I$2:I$61,MATCH(Scores!$A8,Baseline!$A$2:$A$61,0))&amp;" to "&amp;Scores!I8)))</f>
        <v/>
      </c>
      <c r="I8" s="12" t="str">
        <f aca="false">IF(Scores!$A8="","",IF(ISNA(MATCH(Scores!$A8,Baseline!$A$2:$A$61,0)),"new",IF(Scores!J8=INDEX(Baseline!J$2:J$61,MATCH(Scores!$A8,Baseline!$A$2:$A$61,0)),"",INDEX(Baseline!J$2:J$61,MATCH(Scores!$A8,Baseline!$A$2:$A$61,0))&amp;" to "&amp;Scores!J8)))</f>
        <v/>
      </c>
      <c r="J8" s="12" t="str">
        <f aca="false">IF(Scores!$A8="","",IF(ISNA(MATCH(Scores!$A8,Baseline!$A$2:$A$61,0)),"new",IF(Scores!K8=INDEX(Baseline!K$2:K$61,MATCH(Scores!$A8,Baseline!$A$2:$A$61,0)),"",INDEX(Baseline!K$2:K$61,MATCH(Scores!$A8,Baseline!$A$2:$A$61,0))&amp;" to "&amp;Scores!K8)))</f>
        <v/>
      </c>
      <c r="K8" s="12" t="n">
        <f aca="false">IF(Scores!$A8="","",IF(ISNA(MATCH(Scores!$A8,Baseline!$A$2:$A$61,0)),"new",COUNTIF(B8:J8,"* to *")))</f>
        <v>0</v>
      </c>
    </row>
    <row r="9" customFormat="false" ht="15" hidden="false" customHeight="false" outlineLevel="0" collapsed="false">
      <c r="A9" s="12" t="str">
        <f aca="false">IF(Scores!$A9="","",IF(ISNA(MATCH(Scores!$A9,Baseline!$A$2:$A$61,0)),Scores!A9&amp;" (new case)",Scores!A9))</f>
        <v>Dionysius the Renegade</v>
      </c>
      <c r="B9" s="12" t="str">
        <f aca="false">IF(Scores!$A9="","",IF(ISNA(MATCH(Scores!$A9,Baseline!$A$2:$A$61,0)),"new",IF(Scores!C9=INDEX(Baseline!C$2:C$61,MATCH(Scores!$A9,Baseline!$A$2:$A$61,0)),"",INDEX(Baseline!C$2:C$61,MATCH(Scores!$A9,Baseline!$A$2:$A$61,0))&amp;" to "&amp;Scores!C9)))</f>
        <v/>
      </c>
      <c r="C9" s="12" t="str">
        <f aca="false">IF(Scores!$A9="","",IF(ISNA(MATCH(Scores!$A9,Baseline!$A$2:$A$61,0)),"new",IF(Scores!D9=INDEX(Baseline!D$2:D$61,MATCH(Scores!$A9,Baseline!$A$2:$A$61,0)),"",INDEX(Baseline!D$2:D$61,MATCH(Scores!$A9,Baseline!$A$2:$A$61,0))&amp;" to "&amp;Scores!D9)))</f>
        <v/>
      </c>
      <c r="D9" s="12" t="str">
        <f aca="false">IF(Scores!$A9="","",IF(ISNA(MATCH(Scores!$A9,Baseline!$A$2:$A$61,0)),"new",IF(Scores!E9=INDEX(Baseline!E$2:E$61,MATCH(Scores!$A9,Baseline!$A$2:$A$61,0)),"",INDEX(Baseline!E$2:E$61,MATCH(Scores!$A9,Baseline!$A$2:$A$61,0))&amp;" to "&amp;Scores!E9)))</f>
        <v/>
      </c>
      <c r="E9" s="12" t="str">
        <f aca="false">IF(Scores!$A9="","",IF(ISNA(MATCH(Scores!$A9,Baseline!$A$2:$A$61,0)),"new",IF(Scores!F9=INDEX(Baseline!F$2:F$61,MATCH(Scores!$A9,Baseline!$A$2:$A$61,0)),"",INDEX(Baseline!F$2:F$61,MATCH(Scores!$A9,Baseline!$A$2:$A$61,0))&amp;" to "&amp;Scores!F9)))</f>
        <v/>
      </c>
      <c r="F9" s="12" t="str">
        <f aca="false">IF(Scores!$A9="","",IF(ISNA(MATCH(Scores!$A9,Baseline!$A$2:$A$61,0)),"new",IF(Scores!G9=INDEX(Baseline!G$2:G$61,MATCH(Scores!$A9,Baseline!$A$2:$A$61,0)),"",INDEX(Baseline!G$2:G$61,MATCH(Scores!$A9,Baseline!$A$2:$A$61,0))&amp;" to "&amp;Scores!G9)))</f>
        <v/>
      </c>
      <c r="G9" s="12" t="str">
        <f aca="false">IF(Scores!$A9="","",IF(ISNA(MATCH(Scores!$A9,Baseline!$A$2:$A$61,0)),"new",IF(Scores!H9=INDEX(Baseline!H$2:H$61,MATCH(Scores!$A9,Baseline!$A$2:$A$61,0)),"",INDEX(Baseline!H$2:H$61,MATCH(Scores!$A9,Baseline!$A$2:$A$61,0))&amp;" to "&amp;Scores!H9)))</f>
        <v/>
      </c>
      <c r="H9" s="12" t="str">
        <f aca="false">IF(Scores!$A9="","",IF(ISNA(MATCH(Scores!$A9,Baseline!$A$2:$A$61,0)),"new",IF(Scores!I9=INDEX(Baseline!I$2:I$61,MATCH(Scores!$A9,Baseline!$A$2:$A$61,0)),"",INDEX(Baseline!I$2:I$61,MATCH(Scores!$A9,Baseline!$A$2:$A$61,0))&amp;" to "&amp;Scores!I9)))</f>
        <v/>
      </c>
      <c r="I9" s="12" t="str">
        <f aca="false">IF(Scores!$A9="","",IF(ISNA(MATCH(Scores!$A9,Baseline!$A$2:$A$61,0)),"new",IF(Scores!J9=INDEX(Baseline!J$2:J$61,MATCH(Scores!$A9,Baseline!$A$2:$A$61,0)),"",INDEX(Baseline!J$2:J$61,MATCH(Scores!$A9,Baseline!$A$2:$A$61,0))&amp;" to "&amp;Scores!J9)))</f>
        <v/>
      </c>
      <c r="J9" s="12" t="str">
        <f aca="false">IF(Scores!$A9="","",IF(ISNA(MATCH(Scores!$A9,Baseline!$A$2:$A$61,0)),"new",IF(Scores!K9=INDEX(Baseline!K$2:K$61,MATCH(Scores!$A9,Baseline!$A$2:$A$61,0)),"",INDEX(Baseline!K$2:K$61,MATCH(Scores!$A9,Baseline!$A$2:$A$61,0))&amp;" to "&amp;Scores!K9)))</f>
        <v/>
      </c>
      <c r="K9" s="12" t="n">
        <f aca="false">IF(Scores!$A9="","",IF(ISNA(MATCH(Scores!$A9,Baseline!$A$2:$A$61,0)),"new",COUNTIF(B9:J9,"* to *")))</f>
        <v>0</v>
      </c>
    </row>
    <row r="10" customFormat="false" ht="15" hidden="false" customHeight="false" outlineLevel="0" collapsed="false">
      <c r="A10" s="12" t="str">
        <f aca="false">IF(Scores!$A10="","",IF(ISNA(MATCH(Scores!$A10,Baseline!$A$2:$A$61,0)),Scores!A10&amp;" (new case)",Scores!A10))</f>
        <v>Egnatius Celer</v>
      </c>
      <c r="B10" s="12" t="str">
        <f aca="false">IF(Scores!$A10="","",IF(ISNA(MATCH(Scores!$A10,Baseline!$A$2:$A$61,0)),"new",IF(Scores!C10=INDEX(Baseline!C$2:C$61,MATCH(Scores!$A10,Baseline!$A$2:$A$61,0)),"",INDEX(Baseline!C$2:C$61,MATCH(Scores!$A10,Baseline!$A$2:$A$61,0))&amp;" to "&amp;Scores!C10)))</f>
        <v/>
      </c>
      <c r="C10" s="12" t="str">
        <f aca="false">IF(Scores!$A10="","",IF(ISNA(MATCH(Scores!$A10,Baseline!$A$2:$A$61,0)),"new",IF(Scores!D10=INDEX(Baseline!D$2:D$61,MATCH(Scores!$A10,Baseline!$A$2:$A$61,0)),"",INDEX(Baseline!D$2:D$61,MATCH(Scores!$A10,Baseline!$A$2:$A$61,0))&amp;" to "&amp;Scores!D10)))</f>
        <v/>
      </c>
      <c r="D10" s="12" t="str">
        <f aca="false">IF(Scores!$A10="","",IF(ISNA(MATCH(Scores!$A10,Baseline!$A$2:$A$61,0)),"new",IF(Scores!E10=INDEX(Baseline!E$2:E$61,MATCH(Scores!$A10,Baseline!$A$2:$A$61,0)),"",INDEX(Baseline!E$2:E$61,MATCH(Scores!$A10,Baseline!$A$2:$A$61,0))&amp;" to "&amp;Scores!E10)))</f>
        <v/>
      </c>
      <c r="E10" s="12" t="str">
        <f aca="false">IF(Scores!$A10="","",IF(ISNA(MATCH(Scores!$A10,Baseline!$A$2:$A$61,0)),"new",IF(Scores!F10=INDEX(Baseline!F$2:F$61,MATCH(Scores!$A10,Baseline!$A$2:$A$61,0)),"",INDEX(Baseline!F$2:F$61,MATCH(Scores!$A10,Baseline!$A$2:$A$61,0))&amp;" to "&amp;Scores!F10)))</f>
        <v/>
      </c>
      <c r="F10" s="12" t="str">
        <f aca="false">IF(Scores!$A10="","",IF(ISNA(MATCH(Scores!$A10,Baseline!$A$2:$A$61,0)),"new",IF(Scores!G10=INDEX(Baseline!G$2:G$61,MATCH(Scores!$A10,Baseline!$A$2:$A$61,0)),"",INDEX(Baseline!G$2:G$61,MATCH(Scores!$A10,Baseline!$A$2:$A$61,0))&amp;" to "&amp;Scores!G10)))</f>
        <v/>
      </c>
      <c r="G10" s="12" t="str">
        <f aca="false">IF(Scores!$A10="","",IF(ISNA(MATCH(Scores!$A10,Baseline!$A$2:$A$61,0)),"new",IF(Scores!H10=INDEX(Baseline!H$2:H$61,MATCH(Scores!$A10,Baseline!$A$2:$A$61,0)),"",INDEX(Baseline!H$2:H$61,MATCH(Scores!$A10,Baseline!$A$2:$A$61,0))&amp;" to "&amp;Scores!H10)))</f>
        <v/>
      </c>
      <c r="H10" s="12" t="str">
        <f aca="false">IF(Scores!$A10="","",IF(ISNA(MATCH(Scores!$A10,Baseline!$A$2:$A$61,0)),"new",IF(Scores!I10=INDEX(Baseline!I$2:I$61,MATCH(Scores!$A10,Baseline!$A$2:$A$61,0)),"",INDEX(Baseline!I$2:I$61,MATCH(Scores!$A10,Baseline!$A$2:$A$61,0))&amp;" to "&amp;Scores!I10)))</f>
        <v/>
      </c>
      <c r="I10" s="12" t="str">
        <f aca="false">IF(Scores!$A10="","",IF(ISNA(MATCH(Scores!$A10,Baseline!$A$2:$A$61,0)),"new",IF(Scores!J10=INDEX(Baseline!J$2:J$61,MATCH(Scores!$A10,Baseline!$A$2:$A$61,0)),"",INDEX(Baseline!J$2:J$61,MATCH(Scores!$A10,Baseline!$A$2:$A$61,0))&amp;" to "&amp;Scores!J10)))</f>
        <v/>
      </c>
      <c r="J10" s="12" t="str">
        <f aca="false">IF(Scores!$A10="","",IF(ISNA(MATCH(Scores!$A10,Baseline!$A$2:$A$61,0)),"new",IF(Scores!K10=INDEX(Baseline!K$2:K$61,MATCH(Scores!$A10,Baseline!$A$2:$A$61,0)),"",INDEX(Baseline!K$2:K$61,MATCH(Scores!$A10,Baseline!$A$2:$A$61,0))&amp;" to "&amp;Scores!K10)))</f>
        <v/>
      </c>
      <c r="K10" s="12" t="n">
        <f aca="false">IF(Scores!$A10="","",IF(ISNA(MATCH(Scores!$A10,Baseline!$A$2:$A$61,0)),"new",COUNTIF(B10:J10,"* to *")))</f>
        <v>0</v>
      </c>
    </row>
    <row r="11" customFormat="false" ht="15" hidden="false" customHeight="false" outlineLevel="0" collapsed="false">
      <c r="A11" s="12" t="str">
        <f aca="false">IF(Scores!$A11="","",IF(ISNA(MATCH(Scores!$A11,Baseline!$A$2:$A$61,0)),Scores!A11&amp;" (new case)",Scores!A11))</f>
        <v>Musonius Rufus</v>
      </c>
      <c r="B11" s="12" t="str">
        <f aca="false">IF(Scores!$A11="","",IF(ISNA(MATCH(Scores!$A11,Baseline!$A$2:$A$61,0)),"new",IF(Scores!C11=INDEX(Baseline!C$2:C$61,MATCH(Scores!$A11,Baseline!$A$2:$A$61,0)),"",INDEX(Baseline!C$2:C$61,MATCH(Scores!$A11,Baseline!$A$2:$A$61,0))&amp;" to "&amp;Scores!C11)))</f>
        <v/>
      </c>
      <c r="C11" s="12" t="str">
        <f aca="false">IF(Scores!$A11="","",IF(ISNA(MATCH(Scores!$A11,Baseline!$A$2:$A$61,0)),"new",IF(Scores!D11=INDEX(Baseline!D$2:D$61,MATCH(Scores!$A11,Baseline!$A$2:$A$61,0)),"",INDEX(Baseline!D$2:D$61,MATCH(Scores!$A11,Baseline!$A$2:$A$61,0))&amp;" to "&amp;Scores!D11)))</f>
        <v/>
      </c>
      <c r="D11" s="12" t="str">
        <f aca="false">IF(Scores!$A11="","",IF(ISNA(MATCH(Scores!$A11,Baseline!$A$2:$A$61,0)),"new",IF(Scores!E11=INDEX(Baseline!E$2:E$61,MATCH(Scores!$A11,Baseline!$A$2:$A$61,0)),"",INDEX(Baseline!E$2:E$61,MATCH(Scores!$A11,Baseline!$A$2:$A$61,0))&amp;" to "&amp;Scores!E11)))</f>
        <v/>
      </c>
      <c r="E11" s="12" t="str">
        <f aca="false">IF(Scores!$A11="","",IF(ISNA(MATCH(Scores!$A11,Baseline!$A$2:$A$61,0)),"new",IF(Scores!F11=INDEX(Baseline!F$2:F$61,MATCH(Scores!$A11,Baseline!$A$2:$A$61,0)),"",INDEX(Baseline!F$2:F$61,MATCH(Scores!$A11,Baseline!$A$2:$A$61,0))&amp;" to "&amp;Scores!F11)))</f>
        <v/>
      </c>
      <c r="F11" s="12" t="str">
        <f aca="false">IF(Scores!$A11="","",IF(ISNA(MATCH(Scores!$A11,Baseline!$A$2:$A$61,0)),"new",IF(Scores!G11=INDEX(Baseline!G$2:G$61,MATCH(Scores!$A11,Baseline!$A$2:$A$61,0)),"",INDEX(Baseline!G$2:G$61,MATCH(Scores!$A11,Baseline!$A$2:$A$61,0))&amp;" to "&amp;Scores!G11)))</f>
        <v/>
      </c>
      <c r="G11" s="12" t="str">
        <f aca="false">IF(Scores!$A11="","",IF(ISNA(MATCH(Scores!$A11,Baseline!$A$2:$A$61,0)),"new",IF(Scores!H11=INDEX(Baseline!H$2:H$61,MATCH(Scores!$A11,Baseline!$A$2:$A$61,0)),"",INDEX(Baseline!H$2:H$61,MATCH(Scores!$A11,Baseline!$A$2:$A$61,0))&amp;" to "&amp;Scores!H11)))</f>
        <v/>
      </c>
      <c r="H11" s="12" t="str">
        <f aca="false">IF(Scores!$A11="","",IF(ISNA(MATCH(Scores!$A11,Baseline!$A$2:$A$61,0)),"new",IF(Scores!I11=INDEX(Baseline!I$2:I$61,MATCH(Scores!$A11,Baseline!$A$2:$A$61,0)),"",INDEX(Baseline!I$2:I$61,MATCH(Scores!$A11,Baseline!$A$2:$A$61,0))&amp;" to "&amp;Scores!I11)))</f>
        <v/>
      </c>
      <c r="I11" s="12" t="str">
        <f aca="false">IF(Scores!$A11="","",IF(ISNA(MATCH(Scores!$A11,Baseline!$A$2:$A$61,0)),"new",IF(Scores!J11=INDEX(Baseline!J$2:J$61,MATCH(Scores!$A11,Baseline!$A$2:$A$61,0)),"",INDEX(Baseline!J$2:J$61,MATCH(Scores!$A11,Baseline!$A$2:$A$61,0))&amp;" to "&amp;Scores!J11)))</f>
        <v/>
      </c>
      <c r="J11" s="12" t="str">
        <f aca="false">IF(Scores!$A11="","",IF(ISNA(MATCH(Scores!$A11,Baseline!$A$2:$A$61,0)),"new",IF(Scores!K11=INDEX(Baseline!K$2:K$61,MATCH(Scores!$A11,Baseline!$A$2:$A$61,0)),"",INDEX(Baseline!K$2:K$61,MATCH(Scores!$A11,Baseline!$A$2:$A$61,0))&amp;" to "&amp;Scores!K11)))</f>
        <v/>
      </c>
      <c r="K11" s="12" t="n">
        <f aca="false">IF(Scores!$A11="","",IF(ISNA(MATCH(Scores!$A11,Baseline!$A$2:$A$61,0)),"new",COUNTIF(B11:J11,"* to *")))</f>
        <v>0</v>
      </c>
    </row>
    <row r="12" customFormat="false" ht="15" hidden="false" customHeight="false" outlineLevel="0" collapsed="false">
      <c r="A12" s="12" t="str">
        <f aca="false">IF(Scores!$A12="","",IF(ISNA(MATCH(Scores!$A12,Baseline!$A$2:$A$61,0)),Scores!A12&amp;" (new case)",Scores!A12))</f>
        <v>Epictetus</v>
      </c>
      <c r="B12" s="12" t="str">
        <f aca="false">IF(Scores!$A12="","",IF(ISNA(MATCH(Scores!$A12,Baseline!$A$2:$A$61,0)),"new",IF(Scores!C12=INDEX(Baseline!C$2:C$61,MATCH(Scores!$A12,Baseline!$A$2:$A$61,0)),"",INDEX(Baseline!C$2:C$61,MATCH(Scores!$A12,Baseline!$A$2:$A$61,0))&amp;" to "&amp;Scores!C12)))</f>
        <v/>
      </c>
      <c r="C12" s="12" t="str">
        <f aca="false">IF(Scores!$A12="","",IF(ISNA(MATCH(Scores!$A12,Baseline!$A$2:$A$61,0)),"new",IF(Scores!D12=INDEX(Baseline!D$2:D$61,MATCH(Scores!$A12,Baseline!$A$2:$A$61,0)),"",INDEX(Baseline!D$2:D$61,MATCH(Scores!$A12,Baseline!$A$2:$A$61,0))&amp;" to "&amp;Scores!D12)))</f>
        <v/>
      </c>
      <c r="D12" s="12" t="str">
        <f aca="false">IF(Scores!$A12="","",IF(ISNA(MATCH(Scores!$A12,Baseline!$A$2:$A$61,0)),"new",IF(Scores!E12=INDEX(Baseline!E$2:E$61,MATCH(Scores!$A12,Baseline!$A$2:$A$61,0)),"",INDEX(Baseline!E$2:E$61,MATCH(Scores!$A12,Baseline!$A$2:$A$61,0))&amp;" to "&amp;Scores!E12)))</f>
        <v/>
      </c>
      <c r="E12" s="12" t="str">
        <f aca="false">IF(Scores!$A12="","",IF(ISNA(MATCH(Scores!$A12,Baseline!$A$2:$A$61,0)),"new",IF(Scores!F12=INDEX(Baseline!F$2:F$61,MATCH(Scores!$A12,Baseline!$A$2:$A$61,0)),"",INDEX(Baseline!F$2:F$61,MATCH(Scores!$A12,Baseline!$A$2:$A$61,0))&amp;" to "&amp;Scores!F12)))</f>
        <v/>
      </c>
      <c r="F12" s="12" t="str">
        <f aca="false">IF(Scores!$A12="","",IF(ISNA(MATCH(Scores!$A12,Baseline!$A$2:$A$61,0)),"new",IF(Scores!G12=INDEX(Baseline!G$2:G$61,MATCH(Scores!$A12,Baseline!$A$2:$A$61,0)),"",INDEX(Baseline!G$2:G$61,MATCH(Scores!$A12,Baseline!$A$2:$A$61,0))&amp;" to "&amp;Scores!G12)))</f>
        <v/>
      </c>
      <c r="G12" s="12" t="str">
        <f aca="false">IF(Scores!$A12="","",IF(ISNA(MATCH(Scores!$A12,Baseline!$A$2:$A$61,0)),"new",IF(Scores!H12=INDEX(Baseline!H$2:H$61,MATCH(Scores!$A12,Baseline!$A$2:$A$61,0)),"",INDEX(Baseline!H$2:H$61,MATCH(Scores!$A12,Baseline!$A$2:$A$61,0))&amp;" to "&amp;Scores!H12)))</f>
        <v/>
      </c>
      <c r="H12" s="12" t="str">
        <f aca="false">IF(Scores!$A12="","",IF(ISNA(MATCH(Scores!$A12,Baseline!$A$2:$A$61,0)),"new",IF(Scores!I12=INDEX(Baseline!I$2:I$61,MATCH(Scores!$A12,Baseline!$A$2:$A$61,0)),"",INDEX(Baseline!I$2:I$61,MATCH(Scores!$A12,Baseline!$A$2:$A$61,0))&amp;" to "&amp;Scores!I12)))</f>
        <v/>
      </c>
      <c r="I12" s="12" t="str">
        <f aca="false">IF(Scores!$A12="","",IF(ISNA(MATCH(Scores!$A12,Baseline!$A$2:$A$61,0)),"new",IF(Scores!J12=INDEX(Baseline!J$2:J$61,MATCH(Scores!$A12,Baseline!$A$2:$A$61,0)),"",INDEX(Baseline!J$2:J$61,MATCH(Scores!$A12,Baseline!$A$2:$A$61,0))&amp;" to "&amp;Scores!J12)))</f>
        <v/>
      </c>
      <c r="J12" s="12" t="str">
        <f aca="false">IF(Scores!$A12="","",IF(ISNA(MATCH(Scores!$A12,Baseline!$A$2:$A$61,0)),"new",IF(Scores!K12=INDEX(Baseline!K$2:K$61,MATCH(Scores!$A12,Baseline!$A$2:$A$61,0)),"",INDEX(Baseline!K$2:K$61,MATCH(Scores!$A12,Baseline!$A$2:$A$61,0))&amp;" to "&amp;Scores!K12)))</f>
        <v/>
      </c>
      <c r="K12" s="12" t="n">
        <f aca="false">IF(Scores!$A12="","",IF(ISNA(MATCH(Scores!$A12,Baseline!$A$2:$A$61,0)),"new",COUNTIF(B12:J12,"* to *")))</f>
        <v>0</v>
      </c>
    </row>
    <row r="13" customFormat="false" ht="15" hidden="false" customHeight="false" outlineLevel="0" collapsed="false">
      <c r="A13" s="12" t="str">
        <f aca="false">IF(Scores!$A13="","",IF(ISNA(MATCH(Scores!$A13,Baseline!$A$2:$A$61,0)),Scores!A13&amp;" (new case)",Scores!A13))</f>
        <v>Persaeus</v>
      </c>
      <c r="B13" s="12" t="str">
        <f aca="false">IF(Scores!$A13="","",IF(ISNA(MATCH(Scores!$A13,Baseline!$A$2:$A$61,0)),"new",IF(Scores!C13=INDEX(Baseline!C$2:C$61,MATCH(Scores!$A13,Baseline!$A$2:$A$61,0)),"",INDEX(Baseline!C$2:C$61,MATCH(Scores!$A13,Baseline!$A$2:$A$61,0))&amp;" to "&amp;Scores!C13)))</f>
        <v/>
      </c>
      <c r="C13" s="12" t="str">
        <f aca="false">IF(Scores!$A13="","",IF(ISNA(MATCH(Scores!$A13,Baseline!$A$2:$A$61,0)),"new",IF(Scores!D13=INDEX(Baseline!D$2:D$61,MATCH(Scores!$A13,Baseline!$A$2:$A$61,0)),"",INDEX(Baseline!D$2:D$61,MATCH(Scores!$A13,Baseline!$A$2:$A$61,0))&amp;" to "&amp;Scores!D13)))</f>
        <v/>
      </c>
      <c r="D13" s="12" t="str">
        <f aca="false">IF(Scores!$A13="","",IF(ISNA(MATCH(Scores!$A13,Baseline!$A$2:$A$61,0)),"new",IF(Scores!E13=INDEX(Baseline!E$2:E$61,MATCH(Scores!$A13,Baseline!$A$2:$A$61,0)),"",INDEX(Baseline!E$2:E$61,MATCH(Scores!$A13,Baseline!$A$2:$A$61,0))&amp;" to "&amp;Scores!E13)))</f>
        <v/>
      </c>
      <c r="E13" s="12" t="str">
        <f aca="false">IF(Scores!$A13="","",IF(ISNA(MATCH(Scores!$A13,Baseline!$A$2:$A$61,0)),"new",IF(Scores!F13=INDEX(Baseline!F$2:F$61,MATCH(Scores!$A13,Baseline!$A$2:$A$61,0)),"",INDEX(Baseline!F$2:F$61,MATCH(Scores!$A13,Baseline!$A$2:$A$61,0))&amp;" to "&amp;Scores!F13)))</f>
        <v/>
      </c>
      <c r="F13" s="12" t="str">
        <f aca="false">IF(Scores!$A13="","",IF(ISNA(MATCH(Scores!$A13,Baseline!$A$2:$A$61,0)),"new",IF(Scores!G13=INDEX(Baseline!G$2:G$61,MATCH(Scores!$A13,Baseline!$A$2:$A$61,0)),"",INDEX(Baseline!G$2:G$61,MATCH(Scores!$A13,Baseline!$A$2:$A$61,0))&amp;" to "&amp;Scores!G13)))</f>
        <v/>
      </c>
      <c r="G13" s="12" t="str">
        <f aca="false">IF(Scores!$A13="","",IF(ISNA(MATCH(Scores!$A13,Baseline!$A$2:$A$61,0)),"new",IF(Scores!H13=INDEX(Baseline!H$2:H$61,MATCH(Scores!$A13,Baseline!$A$2:$A$61,0)),"",INDEX(Baseline!H$2:H$61,MATCH(Scores!$A13,Baseline!$A$2:$A$61,0))&amp;" to "&amp;Scores!H13)))</f>
        <v/>
      </c>
      <c r="H13" s="12" t="str">
        <f aca="false">IF(Scores!$A13="","",IF(ISNA(MATCH(Scores!$A13,Baseline!$A$2:$A$61,0)),"new",IF(Scores!I13=INDEX(Baseline!I$2:I$61,MATCH(Scores!$A13,Baseline!$A$2:$A$61,0)),"",INDEX(Baseline!I$2:I$61,MATCH(Scores!$A13,Baseline!$A$2:$A$61,0))&amp;" to "&amp;Scores!I13)))</f>
        <v/>
      </c>
      <c r="I13" s="12" t="str">
        <f aca="false">IF(Scores!$A13="","",IF(ISNA(MATCH(Scores!$A13,Baseline!$A$2:$A$61,0)),"new",IF(Scores!J13=INDEX(Baseline!J$2:J$61,MATCH(Scores!$A13,Baseline!$A$2:$A$61,0)),"",INDEX(Baseline!J$2:J$61,MATCH(Scores!$A13,Baseline!$A$2:$A$61,0))&amp;" to "&amp;Scores!J13)))</f>
        <v/>
      </c>
      <c r="J13" s="12" t="str">
        <f aca="false">IF(Scores!$A13="","",IF(ISNA(MATCH(Scores!$A13,Baseline!$A$2:$A$61,0)),"new",IF(Scores!K13=INDEX(Baseline!K$2:K$61,MATCH(Scores!$A13,Baseline!$A$2:$A$61,0)),"",INDEX(Baseline!K$2:K$61,MATCH(Scores!$A13,Baseline!$A$2:$A$61,0))&amp;" to "&amp;Scores!K13)))</f>
        <v/>
      </c>
      <c r="K13" s="12" t="n">
        <f aca="false">IF(Scores!$A13="","",IF(ISNA(MATCH(Scores!$A13,Baseline!$A$2:$A$61,0)),"new",COUNTIF(B13:J13,"* to *")))</f>
        <v>0</v>
      </c>
    </row>
    <row r="14" customFormat="false" ht="15" hidden="false" customHeight="false" outlineLevel="0" collapsed="false">
      <c r="A14" s="12" t="str">
        <f aca="false">IF(Scores!$A14="","",IF(ISNA(MATCH(Scores!$A14,Baseline!$A$2:$A$61,0)),Scores!A14&amp;" (new case)",Scores!A14))</f>
        <v>Rutilius Rufus</v>
      </c>
      <c r="B14" s="12" t="str">
        <f aca="false">IF(Scores!$A14="","",IF(ISNA(MATCH(Scores!$A14,Baseline!$A$2:$A$61,0)),"new",IF(Scores!C14=INDEX(Baseline!C$2:C$61,MATCH(Scores!$A14,Baseline!$A$2:$A$61,0)),"",INDEX(Baseline!C$2:C$61,MATCH(Scores!$A14,Baseline!$A$2:$A$61,0))&amp;" to "&amp;Scores!C14)))</f>
        <v/>
      </c>
      <c r="C14" s="12" t="str">
        <f aca="false">IF(Scores!$A14="","",IF(ISNA(MATCH(Scores!$A14,Baseline!$A$2:$A$61,0)),"new",IF(Scores!D14=INDEX(Baseline!D$2:D$61,MATCH(Scores!$A14,Baseline!$A$2:$A$61,0)),"",INDEX(Baseline!D$2:D$61,MATCH(Scores!$A14,Baseline!$A$2:$A$61,0))&amp;" to "&amp;Scores!D14)))</f>
        <v/>
      </c>
      <c r="D14" s="12" t="str">
        <f aca="false">IF(Scores!$A14="","",IF(ISNA(MATCH(Scores!$A14,Baseline!$A$2:$A$61,0)),"new",IF(Scores!E14=INDEX(Baseline!E$2:E$61,MATCH(Scores!$A14,Baseline!$A$2:$A$61,0)),"",INDEX(Baseline!E$2:E$61,MATCH(Scores!$A14,Baseline!$A$2:$A$61,0))&amp;" to "&amp;Scores!E14)))</f>
        <v/>
      </c>
      <c r="E14" s="12" t="str">
        <f aca="false">IF(Scores!$A14="","",IF(ISNA(MATCH(Scores!$A14,Baseline!$A$2:$A$61,0)),"new",IF(Scores!F14=INDEX(Baseline!F$2:F$61,MATCH(Scores!$A14,Baseline!$A$2:$A$61,0)),"",INDEX(Baseline!F$2:F$61,MATCH(Scores!$A14,Baseline!$A$2:$A$61,0))&amp;" to "&amp;Scores!F14)))</f>
        <v/>
      </c>
      <c r="F14" s="12" t="str">
        <f aca="false">IF(Scores!$A14="","",IF(ISNA(MATCH(Scores!$A14,Baseline!$A$2:$A$61,0)),"new",IF(Scores!G14=INDEX(Baseline!G$2:G$61,MATCH(Scores!$A14,Baseline!$A$2:$A$61,0)),"",INDEX(Baseline!G$2:G$61,MATCH(Scores!$A14,Baseline!$A$2:$A$61,0))&amp;" to "&amp;Scores!G14)))</f>
        <v/>
      </c>
      <c r="G14" s="12" t="str">
        <f aca="false">IF(Scores!$A14="","",IF(ISNA(MATCH(Scores!$A14,Baseline!$A$2:$A$61,0)),"new",IF(Scores!H14=INDEX(Baseline!H$2:H$61,MATCH(Scores!$A14,Baseline!$A$2:$A$61,0)),"",INDEX(Baseline!H$2:H$61,MATCH(Scores!$A14,Baseline!$A$2:$A$61,0))&amp;" to "&amp;Scores!H14)))</f>
        <v/>
      </c>
      <c r="H14" s="12" t="str">
        <f aca="false">IF(Scores!$A14="","",IF(ISNA(MATCH(Scores!$A14,Baseline!$A$2:$A$61,0)),"new",IF(Scores!I14=INDEX(Baseline!I$2:I$61,MATCH(Scores!$A14,Baseline!$A$2:$A$61,0)),"",INDEX(Baseline!I$2:I$61,MATCH(Scores!$A14,Baseline!$A$2:$A$61,0))&amp;" to "&amp;Scores!I14)))</f>
        <v/>
      </c>
      <c r="I14" s="12" t="str">
        <f aca="false">IF(Scores!$A14="","",IF(ISNA(MATCH(Scores!$A14,Baseline!$A$2:$A$61,0)),"new",IF(Scores!J14=INDEX(Baseline!J$2:J$61,MATCH(Scores!$A14,Baseline!$A$2:$A$61,0)),"",INDEX(Baseline!J$2:J$61,MATCH(Scores!$A14,Baseline!$A$2:$A$61,0))&amp;" to "&amp;Scores!J14)))</f>
        <v/>
      </c>
      <c r="J14" s="12" t="str">
        <f aca="false">IF(Scores!$A14="","",IF(ISNA(MATCH(Scores!$A14,Baseline!$A$2:$A$61,0)),"new",IF(Scores!K14=INDEX(Baseline!K$2:K$61,MATCH(Scores!$A14,Baseline!$A$2:$A$61,0)),"",INDEX(Baseline!K$2:K$61,MATCH(Scores!$A14,Baseline!$A$2:$A$61,0))&amp;" to "&amp;Scores!K14)))</f>
        <v/>
      </c>
      <c r="K14" s="12" t="n">
        <f aca="false">IF(Scores!$A14="","",IF(ISNA(MATCH(Scores!$A14,Baseline!$A$2:$A$61,0)),"new",COUNTIF(B14:J14,"* to *")))</f>
        <v>0</v>
      </c>
    </row>
    <row r="15" customFormat="false" ht="15" hidden="false" customHeight="false" outlineLevel="0" collapsed="false">
      <c r="A15" s="12" t="str">
        <f aca="false">IF(Scores!$A15="","",IF(ISNA(MATCH(Scores!$A15,Baseline!$A$2:$A$61,0)),Scores!A15&amp;" (new case)",Scores!A15))</f>
        <v>Cato the Younger</v>
      </c>
      <c r="B15" s="12" t="str">
        <f aca="false">IF(Scores!$A15="","",IF(ISNA(MATCH(Scores!$A15,Baseline!$A$2:$A$61,0)),"new",IF(Scores!C15=INDEX(Baseline!C$2:C$61,MATCH(Scores!$A15,Baseline!$A$2:$A$61,0)),"",INDEX(Baseline!C$2:C$61,MATCH(Scores!$A15,Baseline!$A$2:$A$61,0))&amp;" to "&amp;Scores!C15)))</f>
        <v/>
      </c>
      <c r="C15" s="12" t="str">
        <f aca="false">IF(Scores!$A15="","",IF(ISNA(MATCH(Scores!$A15,Baseline!$A$2:$A$61,0)),"new",IF(Scores!D15=INDEX(Baseline!D$2:D$61,MATCH(Scores!$A15,Baseline!$A$2:$A$61,0)),"",INDEX(Baseline!D$2:D$61,MATCH(Scores!$A15,Baseline!$A$2:$A$61,0))&amp;" to "&amp;Scores!D15)))</f>
        <v/>
      </c>
      <c r="D15" s="12" t="str">
        <f aca="false">IF(Scores!$A15="","",IF(ISNA(MATCH(Scores!$A15,Baseline!$A$2:$A$61,0)),"new",IF(Scores!E15=INDEX(Baseline!E$2:E$61,MATCH(Scores!$A15,Baseline!$A$2:$A$61,0)),"",INDEX(Baseline!E$2:E$61,MATCH(Scores!$A15,Baseline!$A$2:$A$61,0))&amp;" to "&amp;Scores!E15)))</f>
        <v/>
      </c>
      <c r="E15" s="12" t="str">
        <f aca="false">IF(Scores!$A15="","",IF(ISNA(MATCH(Scores!$A15,Baseline!$A$2:$A$61,0)),"new",IF(Scores!F15=INDEX(Baseline!F$2:F$61,MATCH(Scores!$A15,Baseline!$A$2:$A$61,0)),"",INDEX(Baseline!F$2:F$61,MATCH(Scores!$A15,Baseline!$A$2:$A$61,0))&amp;" to "&amp;Scores!F15)))</f>
        <v/>
      </c>
      <c r="F15" s="12" t="str">
        <f aca="false">IF(Scores!$A15="","",IF(ISNA(MATCH(Scores!$A15,Baseline!$A$2:$A$61,0)),"new",IF(Scores!G15=INDEX(Baseline!G$2:G$61,MATCH(Scores!$A15,Baseline!$A$2:$A$61,0)),"",INDEX(Baseline!G$2:G$61,MATCH(Scores!$A15,Baseline!$A$2:$A$61,0))&amp;" to "&amp;Scores!G15)))</f>
        <v/>
      </c>
      <c r="G15" s="12" t="str">
        <f aca="false">IF(Scores!$A15="","",IF(ISNA(MATCH(Scores!$A15,Baseline!$A$2:$A$61,0)),"new",IF(Scores!H15=INDEX(Baseline!H$2:H$61,MATCH(Scores!$A15,Baseline!$A$2:$A$61,0)),"",INDEX(Baseline!H$2:H$61,MATCH(Scores!$A15,Baseline!$A$2:$A$61,0))&amp;" to "&amp;Scores!H15)))</f>
        <v/>
      </c>
      <c r="H15" s="12" t="str">
        <f aca="false">IF(Scores!$A15="","",IF(ISNA(MATCH(Scores!$A15,Baseline!$A$2:$A$61,0)),"new",IF(Scores!I15=INDEX(Baseline!I$2:I$61,MATCH(Scores!$A15,Baseline!$A$2:$A$61,0)),"",INDEX(Baseline!I$2:I$61,MATCH(Scores!$A15,Baseline!$A$2:$A$61,0))&amp;" to "&amp;Scores!I15)))</f>
        <v/>
      </c>
      <c r="I15" s="12" t="str">
        <f aca="false">IF(Scores!$A15="","",IF(ISNA(MATCH(Scores!$A15,Baseline!$A$2:$A$61,0)),"new",IF(Scores!J15=INDEX(Baseline!J$2:J$61,MATCH(Scores!$A15,Baseline!$A$2:$A$61,0)),"",INDEX(Baseline!J$2:J$61,MATCH(Scores!$A15,Baseline!$A$2:$A$61,0))&amp;" to "&amp;Scores!J15)))</f>
        <v/>
      </c>
      <c r="J15" s="12" t="str">
        <f aca="false">IF(Scores!$A15="","",IF(ISNA(MATCH(Scores!$A15,Baseline!$A$2:$A$61,0)),"new",IF(Scores!K15=INDEX(Baseline!K$2:K$61,MATCH(Scores!$A15,Baseline!$A$2:$A$61,0)),"",INDEX(Baseline!K$2:K$61,MATCH(Scores!$A15,Baseline!$A$2:$A$61,0))&amp;" to "&amp;Scores!K15)))</f>
        <v/>
      </c>
      <c r="K15" s="12" t="n">
        <f aca="false">IF(Scores!$A15="","",IF(ISNA(MATCH(Scores!$A15,Baseline!$A$2:$A$61,0)),"new",COUNTIF(B15:J15,"* to *")))</f>
        <v>0</v>
      </c>
    </row>
    <row r="16" customFormat="false" ht="15" hidden="false" customHeight="false" outlineLevel="0" collapsed="false">
      <c r="A16" s="12" t="str">
        <f aca="false">IF(Scores!$A16="","",IF(ISNA(MATCH(Scores!$A16,Baseline!$A$2:$A$61,0)),Scores!A16&amp;" (new case)",Scores!A16))</f>
        <v>Seneca</v>
      </c>
      <c r="B16" s="12" t="str">
        <f aca="false">IF(Scores!$A16="","",IF(ISNA(MATCH(Scores!$A16,Baseline!$A$2:$A$61,0)),"new",IF(Scores!C16=INDEX(Baseline!C$2:C$61,MATCH(Scores!$A16,Baseline!$A$2:$A$61,0)),"",INDEX(Baseline!C$2:C$61,MATCH(Scores!$A16,Baseline!$A$2:$A$61,0))&amp;" to "&amp;Scores!C16)))</f>
        <v/>
      </c>
      <c r="C16" s="12" t="str">
        <f aca="false">IF(Scores!$A16="","",IF(ISNA(MATCH(Scores!$A16,Baseline!$A$2:$A$61,0)),"new",IF(Scores!D16=INDEX(Baseline!D$2:D$61,MATCH(Scores!$A16,Baseline!$A$2:$A$61,0)),"",INDEX(Baseline!D$2:D$61,MATCH(Scores!$A16,Baseline!$A$2:$A$61,0))&amp;" to "&amp;Scores!D16)))</f>
        <v/>
      </c>
      <c r="D16" s="12" t="str">
        <f aca="false">IF(Scores!$A16="","",IF(ISNA(MATCH(Scores!$A16,Baseline!$A$2:$A$61,0)),"new",IF(Scores!E16=INDEX(Baseline!E$2:E$61,MATCH(Scores!$A16,Baseline!$A$2:$A$61,0)),"",INDEX(Baseline!E$2:E$61,MATCH(Scores!$A16,Baseline!$A$2:$A$61,0))&amp;" to "&amp;Scores!E16)))</f>
        <v/>
      </c>
      <c r="E16" s="12" t="str">
        <f aca="false">IF(Scores!$A16="","",IF(ISNA(MATCH(Scores!$A16,Baseline!$A$2:$A$61,0)),"new",IF(Scores!F16=INDEX(Baseline!F$2:F$61,MATCH(Scores!$A16,Baseline!$A$2:$A$61,0)),"",INDEX(Baseline!F$2:F$61,MATCH(Scores!$A16,Baseline!$A$2:$A$61,0))&amp;" to "&amp;Scores!F16)))</f>
        <v/>
      </c>
      <c r="F16" s="12" t="str">
        <f aca="false">IF(Scores!$A16="","",IF(ISNA(MATCH(Scores!$A16,Baseline!$A$2:$A$61,0)),"new",IF(Scores!G16=INDEX(Baseline!G$2:G$61,MATCH(Scores!$A16,Baseline!$A$2:$A$61,0)),"",INDEX(Baseline!G$2:G$61,MATCH(Scores!$A16,Baseline!$A$2:$A$61,0))&amp;" to "&amp;Scores!G16)))</f>
        <v/>
      </c>
      <c r="G16" s="12" t="str">
        <f aca="false">IF(Scores!$A16="","",IF(ISNA(MATCH(Scores!$A16,Baseline!$A$2:$A$61,0)),"new",IF(Scores!H16=INDEX(Baseline!H$2:H$61,MATCH(Scores!$A16,Baseline!$A$2:$A$61,0)),"",INDEX(Baseline!H$2:H$61,MATCH(Scores!$A16,Baseline!$A$2:$A$61,0))&amp;" to "&amp;Scores!H16)))</f>
        <v/>
      </c>
      <c r="H16" s="12" t="str">
        <f aca="false">IF(Scores!$A16="","",IF(ISNA(MATCH(Scores!$A16,Baseline!$A$2:$A$61,0)),"new",IF(Scores!I16=INDEX(Baseline!I$2:I$61,MATCH(Scores!$A16,Baseline!$A$2:$A$61,0)),"",INDEX(Baseline!I$2:I$61,MATCH(Scores!$A16,Baseline!$A$2:$A$61,0))&amp;" to "&amp;Scores!I16)))</f>
        <v/>
      </c>
      <c r="I16" s="12" t="str">
        <f aca="false">IF(Scores!$A16="","",IF(ISNA(MATCH(Scores!$A16,Baseline!$A$2:$A$61,0)),"new",IF(Scores!J16=INDEX(Baseline!J$2:J$61,MATCH(Scores!$A16,Baseline!$A$2:$A$61,0)),"",INDEX(Baseline!J$2:J$61,MATCH(Scores!$A16,Baseline!$A$2:$A$61,0))&amp;" to "&amp;Scores!J16)))</f>
        <v/>
      </c>
      <c r="J16" s="12" t="str">
        <f aca="false">IF(Scores!$A16="","",IF(ISNA(MATCH(Scores!$A16,Baseline!$A$2:$A$61,0)),"new",IF(Scores!K16=INDEX(Baseline!K$2:K$61,MATCH(Scores!$A16,Baseline!$A$2:$A$61,0)),"",INDEX(Baseline!K$2:K$61,MATCH(Scores!$A16,Baseline!$A$2:$A$61,0))&amp;" to "&amp;Scores!K16)))</f>
        <v/>
      </c>
      <c r="K16" s="12" t="n">
        <f aca="false">IF(Scores!$A16="","",IF(ISNA(MATCH(Scores!$A16,Baseline!$A$2:$A$61,0)),"new",COUNTIF(B16:J16,"* to *")))</f>
        <v>0</v>
      </c>
    </row>
    <row r="17" customFormat="false" ht="15" hidden="false" customHeight="false" outlineLevel="0" collapsed="false">
      <c r="A17" s="12" t="str">
        <f aca="false">IF(Scores!$A17="","",IF(ISNA(MATCH(Scores!$A17,Baseline!$A$2:$A$61,0)),Scores!A17&amp;" (new case)",Scores!A17))</f>
        <v>Thrasea Paetus</v>
      </c>
      <c r="B17" s="12" t="str">
        <f aca="false">IF(Scores!$A17="","",IF(ISNA(MATCH(Scores!$A17,Baseline!$A$2:$A$61,0)),"new",IF(Scores!C17=INDEX(Baseline!C$2:C$61,MATCH(Scores!$A17,Baseline!$A$2:$A$61,0)),"",INDEX(Baseline!C$2:C$61,MATCH(Scores!$A17,Baseline!$A$2:$A$61,0))&amp;" to "&amp;Scores!C17)))</f>
        <v/>
      </c>
      <c r="C17" s="12" t="str">
        <f aca="false">IF(Scores!$A17="","",IF(ISNA(MATCH(Scores!$A17,Baseline!$A$2:$A$61,0)),"new",IF(Scores!D17=INDEX(Baseline!D$2:D$61,MATCH(Scores!$A17,Baseline!$A$2:$A$61,0)),"",INDEX(Baseline!D$2:D$61,MATCH(Scores!$A17,Baseline!$A$2:$A$61,0))&amp;" to "&amp;Scores!D17)))</f>
        <v/>
      </c>
      <c r="D17" s="12" t="str">
        <f aca="false">IF(Scores!$A17="","",IF(ISNA(MATCH(Scores!$A17,Baseline!$A$2:$A$61,0)),"new",IF(Scores!E17=INDEX(Baseline!E$2:E$61,MATCH(Scores!$A17,Baseline!$A$2:$A$61,0)),"",INDEX(Baseline!E$2:E$61,MATCH(Scores!$A17,Baseline!$A$2:$A$61,0))&amp;" to "&amp;Scores!E17)))</f>
        <v/>
      </c>
      <c r="E17" s="12" t="str">
        <f aca="false">IF(Scores!$A17="","",IF(ISNA(MATCH(Scores!$A17,Baseline!$A$2:$A$61,0)),"new",IF(Scores!F17=INDEX(Baseline!F$2:F$61,MATCH(Scores!$A17,Baseline!$A$2:$A$61,0)),"",INDEX(Baseline!F$2:F$61,MATCH(Scores!$A17,Baseline!$A$2:$A$61,0))&amp;" to "&amp;Scores!F17)))</f>
        <v/>
      </c>
      <c r="F17" s="12" t="str">
        <f aca="false">IF(Scores!$A17="","",IF(ISNA(MATCH(Scores!$A17,Baseline!$A$2:$A$61,0)),"new",IF(Scores!G17=INDEX(Baseline!G$2:G$61,MATCH(Scores!$A17,Baseline!$A$2:$A$61,0)),"",INDEX(Baseline!G$2:G$61,MATCH(Scores!$A17,Baseline!$A$2:$A$61,0))&amp;" to "&amp;Scores!G17)))</f>
        <v/>
      </c>
      <c r="G17" s="12" t="str">
        <f aca="false">IF(Scores!$A17="","",IF(ISNA(MATCH(Scores!$A17,Baseline!$A$2:$A$61,0)),"new",IF(Scores!H17=INDEX(Baseline!H$2:H$61,MATCH(Scores!$A17,Baseline!$A$2:$A$61,0)),"",INDEX(Baseline!H$2:H$61,MATCH(Scores!$A17,Baseline!$A$2:$A$61,0))&amp;" to "&amp;Scores!H17)))</f>
        <v/>
      </c>
      <c r="H17" s="12" t="str">
        <f aca="false">IF(Scores!$A17="","",IF(ISNA(MATCH(Scores!$A17,Baseline!$A$2:$A$61,0)),"new",IF(Scores!I17=INDEX(Baseline!I$2:I$61,MATCH(Scores!$A17,Baseline!$A$2:$A$61,0)),"",INDEX(Baseline!I$2:I$61,MATCH(Scores!$A17,Baseline!$A$2:$A$61,0))&amp;" to "&amp;Scores!I17)))</f>
        <v/>
      </c>
      <c r="I17" s="12" t="str">
        <f aca="false">IF(Scores!$A17="","",IF(ISNA(MATCH(Scores!$A17,Baseline!$A$2:$A$61,0)),"new",IF(Scores!J17=INDEX(Baseline!J$2:J$61,MATCH(Scores!$A17,Baseline!$A$2:$A$61,0)),"",INDEX(Baseline!J$2:J$61,MATCH(Scores!$A17,Baseline!$A$2:$A$61,0))&amp;" to "&amp;Scores!J17)))</f>
        <v/>
      </c>
      <c r="J17" s="12" t="str">
        <f aca="false">IF(Scores!$A17="","",IF(ISNA(MATCH(Scores!$A17,Baseline!$A$2:$A$61,0)),"new",IF(Scores!K17=INDEX(Baseline!K$2:K$61,MATCH(Scores!$A17,Baseline!$A$2:$A$61,0)),"",INDEX(Baseline!K$2:K$61,MATCH(Scores!$A17,Baseline!$A$2:$A$61,0))&amp;" to "&amp;Scores!K17)))</f>
        <v/>
      </c>
      <c r="K17" s="12" t="n">
        <f aca="false">IF(Scores!$A17="","",IF(ISNA(MATCH(Scores!$A17,Baseline!$A$2:$A$61,0)),"new",COUNTIF(B17:J17,"* to *")))</f>
        <v>0</v>
      </c>
    </row>
    <row r="18" customFormat="false" ht="15" hidden="false" customHeight="false" outlineLevel="0" collapsed="false">
      <c r="A18" s="12" t="str">
        <f aca="false">IF(Scores!$A18="","",IF(ISNA(MATCH(Scores!$A18,Baseline!$A$2:$A$61,0)),Scores!A18&amp;" (new case)",Scores!A18))</f>
        <v>Helvidius Priscus</v>
      </c>
      <c r="B18" s="12" t="str">
        <f aca="false">IF(Scores!$A18="","",IF(ISNA(MATCH(Scores!$A18,Baseline!$A$2:$A$61,0)),"new",IF(Scores!C18=INDEX(Baseline!C$2:C$61,MATCH(Scores!$A18,Baseline!$A$2:$A$61,0)),"",INDEX(Baseline!C$2:C$61,MATCH(Scores!$A18,Baseline!$A$2:$A$61,0))&amp;" to "&amp;Scores!C18)))</f>
        <v/>
      </c>
      <c r="C18" s="12" t="str">
        <f aca="false">IF(Scores!$A18="","",IF(ISNA(MATCH(Scores!$A18,Baseline!$A$2:$A$61,0)),"new",IF(Scores!D18=INDEX(Baseline!D$2:D$61,MATCH(Scores!$A18,Baseline!$A$2:$A$61,0)),"",INDEX(Baseline!D$2:D$61,MATCH(Scores!$A18,Baseline!$A$2:$A$61,0))&amp;" to "&amp;Scores!D18)))</f>
        <v/>
      </c>
      <c r="D18" s="12" t="str">
        <f aca="false">IF(Scores!$A18="","",IF(ISNA(MATCH(Scores!$A18,Baseline!$A$2:$A$61,0)),"new",IF(Scores!E18=INDEX(Baseline!E$2:E$61,MATCH(Scores!$A18,Baseline!$A$2:$A$61,0)),"",INDEX(Baseline!E$2:E$61,MATCH(Scores!$A18,Baseline!$A$2:$A$61,0))&amp;" to "&amp;Scores!E18)))</f>
        <v/>
      </c>
      <c r="E18" s="12" t="str">
        <f aca="false">IF(Scores!$A18="","",IF(ISNA(MATCH(Scores!$A18,Baseline!$A$2:$A$61,0)),"new",IF(Scores!F18=INDEX(Baseline!F$2:F$61,MATCH(Scores!$A18,Baseline!$A$2:$A$61,0)),"",INDEX(Baseline!F$2:F$61,MATCH(Scores!$A18,Baseline!$A$2:$A$61,0))&amp;" to "&amp;Scores!F18)))</f>
        <v/>
      </c>
      <c r="F18" s="12" t="str">
        <f aca="false">IF(Scores!$A18="","",IF(ISNA(MATCH(Scores!$A18,Baseline!$A$2:$A$61,0)),"new",IF(Scores!G18=INDEX(Baseline!G$2:G$61,MATCH(Scores!$A18,Baseline!$A$2:$A$61,0)),"",INDEX(Baseline!G$2:G$61,MATCH(Scores!$A18,Baseline!$A$2:$A$61,0))&amp;" to "&amp;Scores!G18)))</f>
        <v/>
      </c>
      <c r="G18" s="12" t="str">
        <f aca="false">IF(Scores!$A18="","",IF(ISNA(MATCH(Scores!$A18,Baseline!$A$2:$A$61,0)),"new",IF(Scores!H18=INDEX(Baseline!H$2:H$61,MATCH(Scores!$A18,Baseline!$A$2:$A$61,0)),"",INDEX(Baseline!H$2:H$61,MATCH(Scores!$A18,Baseline!$A$2:$A$61,0))&amp;" to "&amp;Scores!H18)))</f>
        <v/>
      </c>
      <c r="H18" s="12" t="str">
        <f aca="false">IF(Scores!$A18="","",IF(ISNA(MATCH(Scores!$A18,Baseline!$A$2:$A$61,0)),"new",IF(Scores!I18=INDEX(Baseline!I$2:I$61,MATCH(Scores!$A18,Baseline!$A$2:$A$61,0)),"",INDEX(Baseline!I$2:I$61,MATCH(Scores!$A18,Baseline!$A$2:$A$61,0))&amp;" to "&amp;Scores!I18)))</f>
        <v/>
      </c>
      <c r="I18" s="12" t="str">
        <f aca="false">IF(Scores!$A18="","",IF(ISNA(MATCH(Scores!$A18,Baseline!$A$2:$A$61,0)),"new",IF(Scores!J18=INDEX(Baseline!J$2:J$61,MATCH(Scores!$A18,Baseline!$A$2:$A$61,0)),"",INDEX(Baseline!J$2:J$61,MATCH(Scores!$A18,Baseline!$A$2:$A$61,0))&amp;" to "&amp;Scores!J18)))</f>
        <v/>
      </c>
      <c r="J18" s="12" t="str">
        <f aca="false">IF(Scores!$A18="","",IF(ISNA(MATCH(Scores!$A18,Baseline!$A$2:$A$61,0)),"new",IF(Scores!K18=INDEX(Baseline!K$2:K$61,MATCH(Scores!$A18,Baseline!$A$2:$A$61,0)),"",INDEX(Baseline!K$2:K$61,MATCH(Scores!$A18,Baseline!$A$2:$A$61,0))&amp;" to "&amp;Scores!K18)))</f>
        <v/>
      </c>
      <c r="K18" s="12" t="n">
        <f aca="false">IF(Scores!$A18="","",IF(ISNA(MATCH(Scores!$A18,Baseline!$A$2:$A$61,0)),"new",COUNTIF(B18:J18,"* to *")))</f>
        <v>0</v>
      </c>
    </row>
    <row r="19" customFormat="false" ht="15" hidden="false" customHeight="false" outlineLevel="0" collapsed="false">
      <c r="A19" s="12" t="str">
        <f aca="false">IF(Scores!$A19="","",IF(ISNA(MATCH(Scores!$A19,Baseline!$A$2:$A$61,0)),Scores!A19&amp;" (new case)",Scores!A19))</f>
        <v>Marcus Aurelius</v>
      </c>
      <c r="B19" s="12" t="str">
        <f aca="false">IF(Scores!$A19="","",IF(ISNA(MATCH(Scores!$A19,Baseline!$A$2:$A$61,0)),"new",IF(Scores!C19=INDEX(Baseline!C$2:C$61,MATCH(Scores!$A19,Baseline!$A$2:$A$61,0)),"",INDEX(Baseline!C$2:C$61,MATCH(Scores!$A19,Baseline!$A$2:$A$61,0))&amp;" to "&amp;Scores!C19)))</f>
        <v/>
      </c>
      <c r="C19" s="12" t="str">
        <f aca="false">IF(Scores!$A19="","",IF(ISNA(MATCH(Scores!$A19,Baseline!$A$2:$A$61,0)),"new",IF(Scores!D19=INDEX(Baseline!D$2:D$61,MATCH(Scores!$A19,Baseline!$A$2:$A$61,0)),"",INDEX(Baseline!D$2:D$61,MATCH(Scores!$A19,Baseline!$A$2:$A$61,0))&amp;" to "&amp;Scores!D19)))</f>
        <v/>
      </c>
      <c r="D19" s="12" t="str">
        <f aca="false">IF(Scores!$A19="","",IF(ISNA(MATCH(Scores!$A19,Baseline!$A$2:$A$61,0)),"new",IF(Scores!E19=INDEX(Baseline!E$2:E$61,MATCH(Scores!$A19,Baseline!$A$2:$A$61,0)),"",INDEX(Baseline!E$2:E$61,MATCH(Scores!$A19,Baseline!$A$2:$A$61,0))&amp;" to "&amp;Scores!E19)))</f>
        <v/>
      </c>
      <c r="E19" s="12" t="str">
        <f aca="false">IF(Scores!$A19="","",IF(ISNA(MATCH(Scores!$A19,Baseline!$A$2:$A$61,0)),"new",IF(Scores!F19=INDEX(Baseline!F$2:F$61,MATCH(Scores!$A19,Baseline!$A$2:$A$61,0)),"",INDEX(Baseline!F$2:F$61,MATCH(Scores!$A19,Baseline!$A$2:$A$61,0))&amp;" to "&amp;Scores!F19)))</f>
        <v/>
      </c>
      <c r="F19" s="12" t="str">
        <f aca="false">IF(Scores!$A19="","",IF(ISNA(MATCH(Scores!$A19,Baseline!$A$2:$A$61,0)),"new",IF(Scores!G19=INDEX(Baseline!G$2:G$61,MATCH(Scores!$A19,Baseline!$A$2:$A$61,0)),"",INDEX(Baseline!G$2:G$61,MATCH(Scores!$A19,Baseline!$A$2:$A$61,0))&amp;" to "&amp;Scores!G19)))</f>
        <v/>
      </c>
      <c r="G19" s="12" t="str">
        <f aca="false">IF(Scores!$A19="","",IF(ISNA(MATCH(Scores!$A19,Baseline!$A$2:$A$61,0)),"new",IF(Scores!H19=INDEX(Baseline!H$2:H$61,MATCH(Scores!$A19,Baseline!$A$2:$A$61,0)),"",INDEX(Baseline!H$2:H$61,MATCH(Scores!$A19,Baseline!$A$2:$A$61,0))&amp;" to "&amp;Scores!H19)))</f>
        <v/>
      </c>
      <c r="H19" s="12" t="str">
        <f aca="false">IF(Scores!$A19="","",IF(ISNA(MATCH(Scores!$A19,Baseline!$A$2:$A$61,0)),"new",IF(Scores!I19=INDEX(Baseline!I$2:I$61,MATCH(Scores!$A19,Baseline!$A$2:$A$61,0)),"",INDEX(Baseline!I$2:I$61,MATCH(Scores!$A19,Baseline!$A$2:$A$61,0))&amp;" to "&amp;Scores!I19)))</f>
        <v/>
      </c>
      <c r="I19" s="12" t="str">
        <f aca="false">IF(Scores!$A19="","",IF(ISNA(MATCH(Scores!$A19,Baseline!$A$2:$A$61,0)),"new",IF(Scores!J19=INDEX(Baseline!J$2:J$61,MATCH(Scores!$A19,Baseline!$A$2:$A$61,0)),"",INDEX(Baseline!J$2:J$61,MATCH(Scores!$A19,Baseline!$A$2:$A$61,0))&amp;" to "&amp;Scores!J19)))</f>
        <v/>
      </c>
      <c r="J19" s="12" t="str">
        <f aca="false">IF(Scores!$A19="","",IF(ISNA(MATCH(Scores!$A19,Baseline!$A$2:$A$61,0)),"new",IF(Scores!K19=INDEX(Baseline!K$2:K$61,MATCH(Scores!$A19,Baseline!$A$2:$A$61,0)),"",INDEX(Baseline!K$2:K$61,MATCH(Scores!$A19,Baseline!$A$2:$A$61,0))&amp;" to "&amp;Scores!K19)))</f>
        <v/>
      </c>
      <c r="K19" s="12" t="n">
        <f aca="false">IF(Scores!$A19="","",IF(ISNA(MATCH(Scores!$A19,Baseline!$A$2:$A$61,0)),"new",COUNTIF(B19:J19,"* to *")))</f>
        <v>0</v>
      </c>
    </row>
    <row r="20" customFormat="false" ht="15" hidden="false" customHeight="false" outlineLevel="0" collapsed="false">
      <c r="A20" s="12" t="str">
        <f aca="false">IF(Scores!$A20="","",IF(ISNA(MATCH(Scores!$A20,Baseline!$A$2:$A$61,0)),Scores!A20&amp;" (new case)",Scores!A20))</f>
        <v/>
      </c>
      <c r="B20" s="12" t="str">
        <f aca="false">IF(Scores!$A20="","",IF(ISNA(MATCH(Scores!$A20,Baseline!$A$2:$A$61,0)),"new",IF(Scores!C20=INDEX(Baseline!C$2:C$61,MATCH(Scores!$A20,Baseline!$A$2:$A$61,0)),"",INDEX(Baseline!C$2:C$61,MATCH(Scores!$A20,Baseline!$A$2:$A$61,0))&amp;" to "&amp;Scores!C20)))</f>
        <v/>
      </c>
      <c r="C20" s="12" t="str">
        <f aca="false">IF(Scores!$A20="","",IF(ISNA(MATCH(Scores!$A20,Baseline!$A$2:$A$61,0)),"new",IF(Scores!D20=INDEX(Baseline!D$2:D$61,MATCH(Scores!$A20,Baseline!$A$2:$A$61,0)),"",INDEX(Baseline!D$2:D$61,MATCH(Scores!$A20,Baseline!$A$2:$A$61,0))&amp;" to "&amp;Scores!D20)))</f>
        <v/>
      </c>
      <c r="D20" s="12" t="str">
        <f aca="false">IF(Scores!$A20="","",IF(ISNA(MATCH(Scores!$A20,Baseline!$A$2:$A$61,0)),"new",IF(Scores!E20=INDEX(Baseline!E$2:E$61,MATCH(Scores!$A20,Baseline!$A$2:$A$61,0)),"",INDEX(Baseline!E$2:E$61,MATCH(Scores!$A20,Baseline!$A$2:$A$61,0))&amp;" to "&amp;Scores!E20)))</f>
        <v/>
      </c>
      <c r="E20" s="12" t="str">
        <f aca="false">IF(Scores!$A20="","",IF(ISNA(MATCH(Scores!$A20,Baseline!$A$2:$A$61,0)),"new",IF(Scores!F20=INDEX(Baseline!F$2:F$61,MATCH(Scores!$A20,Baseline!$A$2:$A$61,0)),"",INDEX(Baseline!F$2:F$61,MATCH(Scores!$A20,Baseline!$A$2:$A$61,0))&amp;" to "&amp;Scores!F20)))</f>
        <v/>
      </c>
      <c r="F20" s="12" t="str">
        <f aca="false">IF(Scores!$A20="","",IF(ISNA(MATCH(Scores!$A20,Baseline!$A$2:$A$61,0)),"new",IF(Scores!G20=INDEX(Baseline!G$2:G$61,MATCH(Scores!$A20,Baseline!$A$2:$A$61,0)),"",INDEX(Baseline!G$2:G$61,MATCH(Scores!$A20,Baseline!$A$2:$A$61,0))&amp;" to "&amp;Scores!G20)))</f>
        <v/>
      </c>
      <c r="G20" s="12" t="str">
        <f aca="false">IF(Scores!$A20="","",IF(ISNA(MATCH(Scores!$A20,Baseline!$A$2:$A$61,0)),"new",IF(Scores!H20=INDEX(Baseline!H$2:H$61,MATCH(Scores!$A20,Baseline!$A$2:$A$61,0)),"",INDEX(Baseline!H$2:H$61,MATCH(Scores!$A20,Baseline!$A$2:$A$61,0))&amp;" to "&amp;Scores!H20)))</f>
        <v/>
      </c>
      <c r="H20" s="12" t="str">
        <f aca="false">IF(Scores!$A20="","",IF(ISNA(MATCH(Scores!$A20,Baseline!$A$2:$A$61,0)),"new",IF(Scores!I20=INDEX(Baseline!I$2:I$61,MATCH(Scores!$A20,Baseline!$A$2:$A$61,0)),"",INDEX(Baseline!I$2:I$61,MATCH(Scores!$A20,Baseline!$A$2:$A$61,0))&amp;" to "&amp;Scores!I20)))</f>
        <v/>
      </c>
      <c r="I20" s="12" t="str">
        <f aca="false">IF(Scores!$A20="","",IF(ISNA(MATCH(Scores!$A20,Baseline!$A$2:$A$61,0)),"new",IF(Scores!J20=INDEX(Baseline!J$2:J$61,MATCH(Scores!$A20,Baseline!$A$2:$A$61,0)),"",INDEX(Baseline!J$2:J$61,MATCH(Scores!$A20,Baseline!$A$2:$A$61,0))&amp;" to "&amp;Scores!J20)))</f>
        <v/>
      </c>
      <c r="J20" s="12" t="str">
        <f aca="false">IF(Scores!$A20="","",IF(ISNA(MATCH(Scores!$A20,Baseline!$A$2:$A$61,0)),"new",IF(Scores!K20=INDEX(Baseline!K$2:K$61,MATCH(Scores!$A20,Baseline!$A$2:$A$61,0)),"",INDEX(Baseline!K$2:K$61,MATCH(Scores!$A20,Baseline!$A$2:$A$61,0))&amp;" to "&amp;Scores!K20)))</f>
        <v/>
      </c>
      <c r="K20" s="12" t="str">
        <f aca="false">IF(Scores!$A20="","",IF(ISNA(MATCH(Scores!$A20,Baseline!$A$2:$A$61,0)),"new",COUNTIF(B20:J20,"* to *")))</f>
        <v/>
      </c>
    </row>
    <row r="21" customFormat="false" ht="15" hidden="false" customHeight="false" outlineLevel="0" collapsed="false">
      <c r="A21" s="12" t="str">
        <f aca="false">IF(Scores!$A21="","",IF(ISNA(MATCH(Scores!$A21,Baseline!$A$2:$A$61,0)),Scores!A21&amp;" (new case)",Scores!A21))</f>
        <v/>
      </c>
      <c r="B21" s="12" t="str">
        <f aca="false">IF(Scores!$A21="","",IF(ISNA(MATCH(Scores!$A21,Baseline!$A$2:$A$61,0)),"new",IF(Scores!C21=INDEX(Baseline!C$2:C$61,MATCH(Scores!$A21,Baseline!$A$2:$A$61,0)),"",INDEX(Baseline!C$2:C$61,MATCH(Scores!$A21,Baseline!$A$2:$A$61,0))&amp;" to "&amp;Scores!C21)))</f>
        <v/>
      </c>
      <c r="C21" s="12" t="str">
        <f aca="false">IF(Scores!$A21="","",IF(ISNA(MATCH(Scores!$A21,Baseline!$A$2:$A$61,0)),"new",IF(Scores!D21=INDEX(Baseline!D$2:D$61,MATCH(Scores!$A21,Baseline!$A$2:$A$61,0)),"",INDEX(Baseline!D$2:D$61,MATCH(Scores!$A21,Baseline!$A$2:$A$61,0))&amp;" to "&amp;Scores!D21)))</f>
        <v/>
      </c>
      <c r="D21" s="12" t="str">
        <f aca="false">IF(Scores!$A21="","",IF(ISNA(MATCH(Scores!$A21,Baseline!$A$2:$A$61,0)),"new",IF(Scores!E21=INDEX(Baseline!E$2:E$61,MATCH(Scores!$A21,Baseline!$A$2:$A$61,0)),"",INDEX(Baseline!E$2:E$61,MATCH(Scores!$A21,Baseline!$A$2:$A$61,0))&amp;" to "&amp;Scores!E21)))</f>
        <v/>
      </c>
      <c r="E21" s="12" t="str">
        <f aca="false">IF(Scores!$A21="","",IF(ISNA(MATCH(Scores!$A21,Baseline!$A$2:$A$61,0)),"new",IF(Scores!F21=INDEX(Baseline!F$2:F$61,MATCH(Scores!$A21,Baseline!$A$2:$A$61,0)),"",INDEX(Baseline!F$2:F$61,MATCH(Scores!$A21,Baseline!$A$2:$A$61,0))&amp;" to "&amp;Scores!F21)))</f>
        <v/>
      </c>
      <c r="F21" s="12" t="str">
        <f aca="false">IF(Scores!$A21="","",IF(ISNA(MATCH(Scores!$A21,Baseline!$A$2:$A$61,0)),"new",IF(Scores!G21=INDEX(Baseline!G$2:G$61,MATCH(Scores!$A21,Baseline!$A$2:$A$61,0)),"",INDEX(Baseline!G$2:G$61,MATCH(Scores!$A21,Baseline!$A$2:$A$61,0))&amp;" to "&amp;Scores!G21)))</f>
        <v/>
      </c>
      <c r="G21" s="12" t="str">
        <f aca="false">IF(Scores!$A21="","",IF(ISNA(MATCH(Scores!$A21,Baseline!$A$2:$A$61,0)),"new",IF(Scores!H21=INDEX(Baseline!H$2:H$61,MATCH(Scores!$A21,Baseline!$A$2:$A$61,0)),"",INDEX(Baseline!H$2:H$61,MATCH(Scores!$A21,Baseline!$A$2:$A$61,0))&amp;" to "&amp;Scores!H21)))</f>
        <v/>
      </c>
      <c r="H21" s="12" t="str">
        <f aca="false">IF(Scores!$A21="","",IF(ISNA(MATCH(Scores!$A21,Baseline!$A$2:$A$61,0)),"new",IF(Scores!I21=INDEX(Baseline!I$2:I$61,MATCH(Scores!$A21,Baseline!$A$2:$A$61,0)),"",INDEX(Baseline!I$2:I$61,MATCH(Scores!$A21,Baseline!$A$2:$A$61,0))&amp;" to "&amp;Scores!I21)))</f>
        <v/>
      </c>
      <c r="I21" s="12" t="str">
        <f aca="false">IF(Scores!$A21="","",IF(ISNA(MATCH(Scores!$A21,Baseline!$A$2:$A$61,0)),"new",IF(Scores!J21=INDEX(Baseline!J$2:J$61,MATCH(Scores!$A21,Baseline!$A$2:$A$61,0)),"",INDEX(Baseline!J$2:J$61,MATCH(Scores!$A21,Baseline!$A$2:$A$61,0))&amp;" to "&amp;Scores!J21)))</f>
        <v/>
      </c>
      <c r="J21" s="12" t="str">
        <f aca="false">IF(Scores!$A21="","",IF(ISNA(MATCH(Scores!$A21,Baseline!$A$2:$A$61,0)),"new",IF(Scores!K21=INDEX(Baseline!K$2:K$61,MATCH(Scores!$A21,Baseline!$A$2:$A$61,0)),"",INDEX(Baseline!K$2:K$61,MATCH(Scores!$A21,Baseline!$A$2:$A$61,0))&amp;" to "&amp;Scores!K21)))</f>
        <v/>
      </c>
      <c r="K21" s="12" t="str">
        <f aca="false">IF(Scores!$A21="","",IF(ISNA(MATCH(Scores!$A21,Baseline!$A$2:$A$61,0)),"new",COUNTIF(B21:J21,"* to *")))</f>
        <v/>
      </c>
    </row>
    <row r="22" customFormat="false" ht="15" hidden="false" customHeight="false" outlineLevel="0" collapsed="false">
      <c r="A22" s="12" t="str">
        <f aca="false">IF(Scores!$A22="","",IF(ISNA(MATCH(Scores!$A22,Baseline!$A$2:$A$61,0)),Scores!A22&amp;" (new case)",Scores!A22))</f>
        <v/>
      </c>
      <c r="B22" s="12" t="str">
        <f aca="false">IF(Scores!$A22="","",IF(ISNA(MATCH(Scores!$A22,Baseline!$A$2:$A$61,0)),"new",IF(Scores!C22=INDEX(Baseline!C$2:C$61,MATCH(Scores!$A22,Baseline!$A$2:$A$61,0)),"",INDEX(Baseline!C$2:C$61,MATCH(Scores!$A22,Baseline!$A$2:$A$61,0))&amp;" to "&amp;Scores!C22)))</f>
        <v/>
      </c>
      <c r="C22" s="12" t="str">
        <f aca="false">IF(Scores!$A22="","",IF(ISNA(MATCH(Scores!$A22,Baseline!$A$2:$A$61,0)),"new",IF(Scores!D22=INDEX(Baseline!D$2:D$61,MATCH(Scores!$A22,Baseline!$A$2:$A$61,0)),"",INDEX(Baseline!D$2:D$61,MATCH(Scores!$A22,Baseline!$A$2:$A$61,0))&amp;" to "&amp;Scores!D22)))</f>
        <v/>
      </c>
      <c r="D22" s="12" t="str">
        <f aca="false">IF(Scores!$A22="","",IF(ISNA(MATCH(Scores!$A22,Baseline!$A$2:$A$61,0)),"new",IF(Scores!E22=INDEX(Baseline!E$2:E$61,MATCH(Scores!$A22,Baseline!$A$2:$A$61,0)),"",INDEX(Baseline!E$2:E$61,MATCH(Scores!$A22,Baseline!$A$2:$A$61,0))&amp;" to "&amp;Scores!E22)))</f>
        <v/>
      </c>
      <c r="E22" s="12" t="str">
        <f aca="false">IF(Scores!$A22="","",IF(ISNA(MATCH(Scores!$A22,Baseline!$A$2:$A$61,0)),"new",IF(Scores!F22=INDEX(Baseline!F$2:F$61,MATCH(Scores!$A22,Baseline!$A$2:$A$61,0)),"",INDEX(Baseline!F$2:F$61,MATCH(Scores!$A22,Baseline!$A$2:$A$61,0))&amp;" to "&amp;Scores!F22)))</f>
        <v/>
      </c>
      <c r="F22" s="12" t="str">
        <f aca="false">IF(Scores!$A22="","",IF(ISNA(MATCH(Scores!$A22,Baseline!$A$2:$A$61,0)),"new",IF(Scores!G22=INDEX(Baseline!G$2:G$61,MATCH(Scores!$A22,Baseline!$A$2:$A$61,0)),"",INDEX(Baseline!G$2:G$61,MATCH(Scores!$A22,Baseline!$A$2:$A$61,0))&amp;" to "&amp;Scores!G22)))</f>
        <v/>
      </c>
      <c r="G22" s="12" t="str">
        <f aca="false">IF(Scores!$A22="","",IF(ISNA(MATCH(Scores!$A22,Baseline!$A$2:$A$61,0)),"new",IF(Scores!H22=INDEX(Baseline!H$2:H$61,MATCH(Scores!$A22,Baseline!$A$2:$A$61,0)),"",INDEX(Baseline!H$2:H$61,MATCH(Scores!$A22,Baseline!$A$2:$A$61,0))&amp;" to "&amp;Scores!H22)))</f>
        <v/>
      </c>
      <c r="H22" s="12" t="str">
        <f aca="false">IF(Scores!$A22="","",IF(ISNA(MATCH(Scores!$A22,Baseline!$A$2:$A$61,0)),"new",IF(Scores!I22=INDEX(Baseline!I$2:I$61,MATCH(Scores!$A22,Baseline!$A$2:$A$61,0)),"",INDEX(Baseline!I$2:I$61,MATCH(Scores!$A22,Baseline!$A$2:$A$61,0))&amp;" to "&amp;Scores!I22)))</f>
        <v/>
      </c>
      <c r="I22" s="12" t="str">
        <f aca="false">IF(Scores!$A22="","",IF(ISNA(MATCH(Scores!$A22,Baseline!$A$2:$A$61,0)),"new",IF(Scores!J22=INDEX(Baseline!J$2:J$61,MATCH(Scores!$A22,Baseline!$A$2:$A$61,0)),"",INDEX(Baseline!J$2:J$61,MATCH(Scores!$A22,Baseline!$A$2:$A$61,0))&amp;" to "&amp;Scores!J22)))</f>
        <v/>
      </c>
      <c r="J22" s="12" t="str">
        <f aca="false">IF(Scores!$A22="","",IF(ISNA(MATCH(Scores!$A22,Baseline!$A$2:$A$61,0)),"new",IF(Scores!K22=INDEX(Baseline!K$2:K$61,MATCH(Scores!$A22,Baseline!$A$2:$A$61,0)),"",INDEX(Baseline!K$2:K$61,MATCH(Scores!$A22,Baseline!$A$2:$A$61,0))&amp;" to "&amp;Scores!K22)))</f>
        <v/>
      </c>
      <c r="K22" s="12" t="str">
        <f aca="false">IF(Scores!$A22="","",IF(ISNA(MATCH(Scores!$A22,Baseline!$A$2:$A$61,0)),"new",COUNTIF(B22:J22,"* to *")))</f>
        <v/>
      </c>
    </row>
    <row r="23" customFormat="false" ht="15" hidden="false" customHeight="false" outlineLevel="0" collapsed="false">
      <c r="A23" s="12" t="str">
        <f aca="false">IF(Scores!$A23="","",IF(ISNA(MATCH(Scores!$A23,Baseline!$A$2:$A$61,0)),Scores!A23&amp;" (new case)",Scores!A23))</f>
        <v/>
      </c>
      <c r="B23" s="12" t="str">
        <f aca="false">IF(Scores!$A23="","",IF(ISNA(MATCH(Scores!$A23,Baseline!$A$2:$A$61,0)),"new",IF(Scores!C23=INDEX(Baseline!C$2:C$61,MATCH(Scores!$A23,Baseline!$A$2:$A$61,0)),"",INDEX(Baseline!C$2:C$61,MATCH(Scores!$A23,Baseline!$A$2:$A$61,0))&amp;" to "&amp;Scores!C23)))</f>
        <v/>
      </c>
      <c r="C23" s="12" t="str">
        <f aca="false">IF(Scores!$A23="","",IF(ISNA(MATCH(Scores!$A23,Baseline!$A$2:$A$61,0)),"new",IF(Scores!D23=INDEX(Baseline!D$2:D$61,MATCH(Scores!$A23,Baseline!$A$2:$A$61,0)),"",INDEX(Baseline!D$2:D$61,MATCH(Scores!$A23,Baseline!$A$2:$A$61,0))&amp;" to "&amp;Scores!D23)))</f>
        <v/>
      </c>
      <c r="D23" s="12" t="str">
        <f aca="false">IF(Scores!$A23="","",IF(ISNA(MATCH(Scores!$A23,Baseline!$A$2:$A$61,0)),"new",IF(Scores!E23=INDEX(Baseline!E$2:E$61,MATCH(Scores!$A23,Baseline!$A$2:$A$61,0)),"",INDEX(Baseline!E$2:E$61,MATCH(Scores!$A23,Baseline!$A$2:$A$61,0))&amp;" to "&amp;Scores!E23)))</f>
        <v/>
      </c>
      <c r="E23" s="12" t="str">
        <f aca="false">IF(Scores!$A23="","",IF(ISNA(MATCH(Scores!$A23,Baseline!$A$2:$A$61,0)),"new",IF(Scores!F23=INDEX(Baseline!F$2:F$61,MATCH(Scores!$A23,Baseline!$A$2:$A$61,0)),"",INDEX(Baseline!F$2:F$61,MATCH(Scores!$A23,Baseline!$A$2:$A$61,0))&amp;" to "&amp;Scores!F23)))</f>
        <v/>
      </c>
      <c r="F23" s="12" t="str">
        <f aca="false">IF(Scores!$A23="","",IF(ISNA(MATCH(Scores!$A23,Baseline!$A$2:$A$61,0)),"new",IF(Scores!G23=INDEX(Baseline!G$2:G$61,MATCH(Scores!$A23,Baseline!$A$2:$A$61,0)),"",INDEX(Baseline!G$2:G$61,MATCH(Scores!$A23,Baseline!$A$2:$A$61,0))&amp;" to "&amp;Scores!G23)))</f>
        <v/>
      </c>
      <c r="G23" s="12" t="str">
        <f aca="false">IF(Scores!$A23="","",IF(ISNA(MATCH(Scores!$A23,Baseline!$A$2:$A$61,0)),"new",IF(Scores!H23=INDEX(Baseline!H$2:H$61,MATCH(Scores!$A23,Baseline!$A$2:$A$61,0)),"",INDEX(Baseline!H$2:H$61,MATCH(Scores!$A23,Baseline!$A$2:$A$61,0))&amp;" to "&amp;Scores!H23)))</f>
        <v/>
      </c>
      <c r="H23" s="12" t="str">
        <f aca="false">IF(Scores!$A23="","",IF(ISNA(MATCH(Scores!$A23,Baseline!$A$2:$A$61,0)),"new",IF(Scores!I23=INDEX(Baseline!I$2:I$61,MATCH(Scores!$A23,Baseline!$A$2:$A$61,0)),"",INDEX(Baseline!I$2:I$61,MATCH(Scores!$A23,Baseline!$A$2:$A$61,0))&amp;" to "&amp;Scores!I23)))</f>
        <v/>
      </c>
      <c r="I23" s="12" t="str">
        <f aca="false">IF(Scores!$A23="","",IF(ISNA(MATCH(Scores!$A23,Baseline!$A$2:$A$61,0)),"new",IF(Scores!J23=INDEX(Baseline!J$2:J$61,MATCH(Scores!$A23,Baseline!$A$2:$A$61,0)),"",INDEX(Baseline!J$2:J$61,MATCH(Scores!$A23,Baseline!$A$2:$A$61,0))&amp;" to "&amp;Scores!J23)))</f>
        <v/>
      </c>
      <c r="J23" s="12" t="str">
        <f aca="false">IF(Scores!$A23="","",IF(ISNA(MATCH(Scores!$A23,Baseline!$A$2:$A$61,0)),"new",IF(Scores!K23=INDEX(Baseline!K$2:K$61,MATCH(Scores!$A23,Baseline!$A$2:$A$61,0)),"",INDEX(Baseline!K$2:K$61,MATCH(Scores!$A23,Baseline!$A$2:$A$61,0))&amp;" to "&amp;Scores!K23)))</f>
        <v/>
      </c>
      <c r="K23" s="12" t="str">
        <f aca="false">IF(Scores!$A23="","",IF(ISNA(MATCH(Scores!$A23,Baseline!$A$2:$A$61,0)),"new",COUNTIF(B23:J23,"* to *")))</f>
        <v/>
      </c>
    </row>
    <row r="24" customFormat="false" ht="15" hidden="false" customHeight="false" outlineLevel="0" collapsed="false">
      <c r="A24" s="12" t="str">
        <f aca="false">IF(Scores!$A24="","",IF(ISNA(MATCH(Scores!$A24,Baseline!$A$2:$A$61,0)),Scores!A24&amp;" (new case)",Scores!A24))</f>
        <v/>
      </c>
      <c r="B24" s="12" t="str">
        <f aca="false">IF(Scores!$A24="","",IF(ISNA(MATCH(Scores!$A24,Baseline!$A$2:$A$61,0)),"new",IF(Scores!C24=INDEX(Baseline!C$2:C$61,MATCH(Scores!$A24,Baseline!$A$2:$A$61,0)),"",INDEX(Baseline!C$2:C$61,MATCH(Scores!$A24,Baseline!$A$2:$A$61,0))&amp;" to "&amp;Scores!C24)))</f>
        <v/>
      </c>
      <c r="C24" s="12" t="str">
        <f aca="false">IF(Scores!$A24="","",IF(ISNA(MATCH(Scores!$A24,Baseline!$A$2:$A$61,0)),"new",IF(Scores!D24=INDEX(Baseline!D$2:D$61,MATCH(Scores!$A24,Baseline!$A$2:$A$61,0)),"",INDEX(Baseline!D$2:D$61,MATCH(Scores!$A24,Baseline!$A$2:$A$61,0))&amp;" to "&amp;Scores!D24)))</f>
        <v/>
      </c>
      <c r="D24" s="12" t="str">
        <f aca="false">IF(Scores!$A24="","",IF(ISNA(MATCH(Scores!$A24,Baseline!$A$2:$A$61,0)),"new",IF(Scores!E24=INDEX(Baseline!E$2:E$61,MATCH(Scores!$A24,Baseline!$A$2:$A$61,0)),"",INDEX(Baseline!E$2:E$61,MATCH(Scores!$A24,Baseline!$A$2:$A$61,0))&amp;" to "&amp;Scores!E24)))</f>
        <v/>
      </c>
      <c r="E24" s="12" t="str">
        <f aca="false">IF(Scores!$A24="","",IF(ISNA(MATCH(Scores!$A24,Baseline!$A$2:$A$61,0)),"new",IF(Scores!F24=INDEX(Baseline!F$2:F$61,MATCH(Scores!$A24,Baseline!$A$2:$A$61,0)),"",INDEX(Baseline!F$2:F$61,MATCH(Scores!$A24,Baseline!$A$2:$A$61,0))&amp;" to "&amp;Scores!F24)))</f>
        <v/>
      </c>
      <c r="F24" s="12" t="str">
        <f aca="false">IF(Scores!$A24="","",IF(ISNA(MATCH(Scores!$A24,Baseline!$A$2:$A$61,0)),"new",IF(Scores!G24=INDEX(Baseline!G$2:G$61,MATCH(Scores!$A24,Baseline!$A$2:$A$61,0)),"",INDEX(Baseline!G$2:G$61,MATCH(Scores!$A24,Baseline!$A$2:$A$61,0))&amp;" to "&amp;Scores!G24)))</f>
        <v/>
      </c>
      <c r="G24" s="12" t="str">
        <f aca="false">IF(Scores!$A24="","",IF(ISNA(MATCH(Scores!$A24,Baseline!$A$2:$A$61,0)),"new",IF(Scores!H24=INDEX(Baseline!H$2:H$61,MATCH(Scores!$A24,Baseline!$A$2:$A$61,0)),"",INDEX(Baseline!H$2:H$61,MATCH(Scores!$A24,Baseline!$A$2:$A$61,0))&amp;" to "&amp;Scores!H24)))</f>
        <v/>
      </c>
      <c r="H24" s="12" t="str">
        <f aca="false">IF(Scores!$A24="","",IF(ISNA(MATCH(Scores!$A24,Baseline!$A$2:$A$61,0)),"new",IF(Scores!I24=INDEX(Baseline!I$2:I$61,MATCH(Scores!$A24,Baseline!$A$2:$A$61,0)),"",INDEX(Baseline!I$2:I$61,MATCH(Scores!$A24,Baseline!$A$2:$A$61,0))&amp;" to "&amp;Scores!I24)))</f>
        <v/>
      </c>
      <c r="I24" s="12" t="str">
        <f aca="false">IF(Scores!$A24="","",IF(ISNA(MATCH(Scores!$A24,Baseline!$A$2:$A$61,0)),"new",IF(Scores!J24=INDEX(Baseline!J$2:J$61,MATCH(Scores!$A24,Baseline!$A$2:$A$61,0)),"",INDEX(Baseline!J$2:J$61,MATCH(Scores!$A24,Baseline!$A$2:$A$61,0))&amp;" to "&amp;Scores!J24)))</f>
        <v/>
      </c>
      <c r="J24" s="12" t="str">
        <f aca="false">IF(Scores!$A24="","",IF(ISNA(MATCH(Scores!$A24,Baseline!$A$2:$A$61,0)),"new",IF(Scores!K24=INDEX(Baseline!K$2:K$61,MATCH(Scores!$A24,Baseline!$A$2:$A$61,0)),"",INDEX(Baseline!K$2:K$61,MATCH(Scores!$A24,Baseline!$A$2:$A$61,0))&amp;" to "&amp;Scores!K24)))</f>
        <v/>
      </c>
      <c r="K24" s="12" t="str">
        <f aca="false">IF(Scores!$A24="","",IF(ISNA(MATCH(Scores!$A24,Baseline!$A$2:$A$61,0)),"new",COUNTIF(B24:J24,"* to *")))</f>
        <v/>
      </c>
    </row>
    <row r="25" customFormat="false" ht="15" hidden="false" customHeight="false" outlineLevel="0" collapsed="false">
      <c r="A25" s="12" t="str">
        <f aca="false">IF(Scores!$A25="","",IF(ISNA(MATCH(Scores!$A25,Baseline!$A$2:$A$61,0)),Scores!A25&amp;" (new case)",Scores!A25))</f>
        <v/>
      </c>
      <c r="B25" s="12" t="str">
        <f aca="false">IF(Scores!$A25="","",IF(ISNA(MATCH(Scores!$A25,Baseline!$A$2:$A$61,0)),"new",IF(Scores!C25=INDEX(Baseline!C$2:C$61,MATCH(Scores!$A25,Baseline!$A$2:$A$61,0)),"",INDEX(Baseline!C$2:C$61,MATCH(Scores!$A25,Baseline!$A$2:$A$61,0))&amp;" to "&amp;Scores!C25)))</f>
        <v/>
      </c>
      <c r="C25" s="12" t="str">
        <f aca="false">IF(Scores!$A25="","",IF(ISNA(MATCH(Scores!$A25,Baseline!$A$2:$A$61,0)),"new",IF(Scores!D25=INDEX(Baseline!D$2:D$61,MATCH(Scores!$A25,Baseline!$A$2:$A$61,0)),"",INDEX(Baseline!D$2:D$61,MATCH(Scores!$A25,Baseline!$A$2:$A$61,0))&amp;" to "&amp;Scores!D25)))</f>
        <v/>
      </c>
      <c r="D25" s="12" t="str">
        <f aca="false">IF(Scores!$A25="","",IF(ISNA(MATCH(Scores!$A25,Baseline!$A$2:$A$61,0)),"new",IF(Scores!E25=INDEX(Baseline!E$2:E$61,MATCH(Scores!$A25,Baseline!$A$2:$A$61,0)),"",INDEX(Baseline!E$2:E$61,MATCH(Scores!$A25,Baseline!$A$2:$A$61,0))&amp;" to "&amp;Scores!E25)))</f>
        <v/>
      </c>
      <c r="E25" s="12" t="str">
        <f aca="false">IF(Scores!$A25="","",IF(ISNA(MATCH(Scores!$A25,Baseline!$A$2:$A$61,0)),"new",IF(Scores!F25=INDEX(Baseline!F$2:F$61,MATCH(Scores!$A25,Baseline!$A$2:$A$61,0)),"",INDEX(Baseline!F$2:F$61,MATCH(Scores!$A25,Baseline!$A$2:$A$61,0))&amp;" to "&amp;Scores!F25)))</f>
        <v/>
      </c>
      <c r="F25" s="12" t="str">
        <f aca="false">IF(Scores!$A25="","",IF(ISNA(MATCH(Scores!$A25,Baseline!$A$2:$A$61,0)),"new",IF(Scores!G25=INDEX(Baseline!G$2:G$61,MATCH(Scores!$A25,Baseline!$A$2:$A$61,0)),"",INDEX(Baseline!G$2:G$61,MATCH(Scores!$A25,Baseline!$A$2:$A$61,0))&amp;" to "&amp;Scores!G25)))</f>
        <v/>
      </c>
      <c r="G25" s="12" t="str">
        <f aca="false">IF(Scores!$A25="","",IF(ISNA(MATCH(Scores!$A25,Baseline!$A$2:$A$61,0)),"new",IF(Scores!H25=INDEX(Baseline!H$2:H$61,MATCH(Scores!$A25,Baseline!$A$2:$A$61,0)),"",INDEX(Baseline!H$2:H$61,MATCH(Scores!$A25,Baseline!$A$2:$A$61,0))&amp;" to "&amp;Scores!H25)))</f>
        <v/>
      </c>
      <c r="H25" s="12" t="str">
        <f aca="false">IF(Scores!$A25="","",IF(ISNA(MATCH(Scores!$A25,Baseline!$A$2:$A$61,0)),"new",IF(Scores!I25=INDEX(Baseline!I$2:I$61,MATCH(Scores!$A25,Baseline!$A$2:$A$61,0)),"",INDEX(Baseline!I$2:I$61,MATCH(Scores!$A25,Baseline!$A$2:$A$61,0))&amp;" to "&amp;Scores!I25)))</f>
        <v/>
      </c>
      <c r="I25" s="12" t="str">
        <f aca="false">IF(Scores!$A25="","",IF(ISNA(MATCH(Scores!$A25,Baseline!$A$2:$A$61,0)),"new",IF(Scores!J25=INDEX(Baseline!J$2:J$61,MATCH(Scores!$A25,Baseline!$A$2:$A$61,0)),"",INDEX(Baseline!J$2:J$61,MATCH(Scores!$A25,Baseline!$A$2:$A$61,0))&amp;" to "&amp;Scores!J25)))</f>
        <v/>
      </c>
      <c r="J25" s="12" t="str">
        <f aca="false">IF(Scores!$A25="","",IF(ISNA(MATCH(Scores!$A25,Baseline!$A$2:$A$61,0)),"new",IF(Scores!K25=INDEX(Baseline!K$2:K$61,MATCH(Scores!$A25,Baseline!$A$2:$A$61,0)),"",INDEX(Baseline!K$2:K$61,MATCH(Scores!$A25,Baseline!$A$2:$A$61,0))&amp;" to "&amp;Scores!K25)))</f>
        <v/>
      </c>
      <c r="K25" s="12" t="str">
        <f aca="false">IF(Scores!$A25="","",IF(ISNA(MATCH(Scores!$A25,Baseline!$A$2:$A$61,0)),"new",COUNTIF(B25:J25,"* to *")))</f>
        <v/>
      </c>
    </row>
    <row r="26" customFormat="false" ht="15" hidden="false" customHeight="false" outlineLevel="0" collapsed="false">
      <c r="A26" s="12" t="str">
        <f aca="false">IF(Scores!$A26="","",IF(ISNA(MATCH(Scores!$A26,Baseline!$A$2:$A$61,0)),Scores!A26&amp;" (new case)",Scores!A26))</f>
        <v/>
      </c>
      <c r="B26" s="12" t="str">
        <f aca="false">IF(Scores!$A26="","",IF(ISNA(MATCH(Scores!$A26,Baseline!$A$2:$A$61,0)),"new",IF(Scores!C26=INDEX(Baseline!C$2:C$61,MATCH(Scores!$A26,Baseline!$A$2:$A$61,0)),"",INDEX(Baseline!C$2:C$61,MATCH(Scores!$A26,Baseline!$A$2:$A$61,0))&amp;" to "&amp;Scores!C26)))</f>
        <v/>
      </c>
      <c r="C26" s="12" t="str">
        <f aca="false">IF(Scores!$A26="","",IF(ISNA(MATCH(Scores!$A26,Baseline!$A$2:$A$61,0)),"new",IF(Scores!D26=INDEX(Baseline!D$2:D$61,MATCH(Scores!$A26,Baseline!$A$2:$A$61,0)),"",INDEX(Baseline!D$2:D$61,MATCH(Scores!$A26,Baseline!$A$2:$A$61,0))&amp;" to "&amp;Scores!D26)))</f>
        <v/>
      </c>
      <c r="D26" s="12" t="str">
        <f aca="false">IF(Scores!$A26="","",IF(ISNA(MATCH(Scores!$A26,Baseline!$A$2:$A$61,0)),"new",IF(Scores!E26=INDEX(Baseline!E$2:E$61,MATCH(Scores!$A26,Baseline!$A$2:$A$61,0)),"",INDEX(Baseline!E$2:E$61,MATCH(Scores!$A26,Baseline!$A$2:$A$61,0))&amp;" to "&amp;Scores!E26)))</f>
        <v/>
      </c>
      <c r="E26" s="12" t="str">
        <f aca="false">IF(Scores!$A26="","",IF(ISNA(MATCH(Scores!$A26,Baseline!$A$2:$A$61,0)),"new",IF(Scores!F26=INDEX(Baseline!F$2:F$61,MATCH(Scores!$A26,Baseline!$A$2:$A$61,0)),"",INDEX(Baseline!F$2:F$61,MATCH(Scores!$A26,Baseline!$A$2:$A$61,0))&amp;" to "&amp;Scores!F26)))</f>
        <v/>
      </c>
      <c r="F26" s="12" t="str">
        <f aca="false">IF(Scores!$A26="","",IF(ISNA(MATCH(Scores!$A26,Baseline!$A$2:$A$61,0)),"new",IF(Scores!G26=INDEX(Baseline!G$2:G$61,MATCH(Scores!$A26,Baseline!$A$2:$A$61,0)),"",INDEX(Baseline!G$2:G$61,MATCH(Scores!$A26,Baseline!$A$2:$A$61,0))&amp;" to "&amp;Scores!G26)))</f>
        <v/>
      </c>
      <c r="G26" s="12" t="str">
        <f aca="false">IF(Scores!$A26="","",IF(ISNA(MATCH(Scores!$A26,Baseline!$A$2:$A$61,0)),"new",IF(Scores!H26=INDEX(Baseline!H$2:H$61,MATCH(Scores!$A26,Baseline!$A$2:$A$61,0)),"",INDEX(Baseline!H$2:H$61,MATCH(Scores!$A26,Baseline!$A$2:$A$61,0))&amp;" to "&amp;Scores!H26)))</f>
        <v/>
      </c>
      <c r="H26" s="12" t="str">
        <f aca="false">IF(Scores!$A26="","",IF(ISNA(MATCH(Scores!$A26,Baseline!$A$2:$A$61,0)),"new",IF(Scores!I26=INDEX(Baseline!I$2:I$61,MATCH(Scores!$A26,Baseline!$A$2:$A$61,0)),"",INDEX(Baseline!I$2:I$61,MATCH(Scores!$A26,Baseline!$A$2:$A$61,0))&amp;" to "&amp;Scores!I26)))</f>
        <v/>
      </c>
      <c r="I26" s="12" t="str">
        <f aca="false">IF(Scores!$A26="","",IF(ISNA(MATCH(Scores!$A26,Baseline!$A$2:$A$61,0)),"new",IF(Scores!J26=INDEX(Baseline!J$2:J$61,MATCH(Scores!$A26,Baseline!$A$2:$A$61,0)),"",INDEX(Baseline!J$2:J$61,MATCH(Scores!$A26,Baseline!$A$2:$A$61,0))&amp;" to "&amp;Scores!J26)))</f>
        <v/>
      </c>
      <c r="J26" s="12" t="str">
        <f aca="false">IF(Scores!$A26="","",IF(ISNA(MATCH(Scores!$A26,Baseline!$A$2:$A$61,0)),"new",IF(Scores!K26=INDEX(Baseline!K$2:K$61,MATCH(Scores!$A26,Baseline!$A$2:$A$61,0)),"",INDEX(Baseline!K$2:K$61,MATCH(Scores!$A26,Baseline!$A$2:$A$61,0))&amp;" to "&amp;Scores!K26)))</f>
        <v/>
      </c>
      <c r="K26" s="12" t="str">
        <f aca="false">IF(Scores!$A26="","",IF(ISNA(MATCH(Scores!$A26,Baseline!$A$2:$A$61,0)),"new",COUNTIF(B26:J26,"* to *")))</f>
        <v/>
      </c>
    </row>
    <row r="27" customFormat="false" ht="15" hidden="false" customHeight="false" outlineLevel="0" collapsed="false">
      <c r="A27" s="12" t="str">
        <f aca="false">IF(Scores!$A27="","",IF(ISNA(MATCH(Scores!$A27,Baseline!$A$2:$A$61,0)),Scores!A27&amp;" (new case)",Scores!A27))</f>
        <v/>
      </c>
      <c r="B27" s="12" t="str">
        <f aca="false">IF(Scores!$A27="","",IF(ISNA(MATCH(Scores!$A27,Baseline!$A$2:$A$61,0)),"new",IF(Scores!C27=INDEX(Baseline!C$2:C$61,MATCH(Scores!$A27,Baseline!$A$2:$A$61,0)),"",INDEX(Baseline!C$2:C$61,MATCH(Scores!$A27,Baseline!$A$2:$A$61,0))&amp;" to "&amp;Scores!C27)))</f>
        <v/>
      </c>
      <c r="C27" s="12" t="str">
        <f aca="false">IF(Scores!$A27="","",IF(ISNA(MATCH(Scores!$A27,Baseline!$A$2:$A$61,0)),"new",IF(Scores!D27=INDEX(Baseline!D$2:D$61,MATCH(Scores!$A27,Baseline!$A$2:$A$61,0)),"",INDEX(Baseline!D$2:D$61,MATCH(Scores!$A27,Baseline!$A$2:$A$61,0))&amp;" to "&amp;Scores!D27)))</f>
        <v/>
      </c>
      <c r="D27" s="12" t="str">
        <f aca="false">IF(Scores!$A27="","",IF(ISNA(MATCH(Scores!$A27,Baseline!$A$2:$A$61,0)),"new",IF(Scores!E27=INDEX(Baseline!E$2:E$61,MATCH(Scores!$A27,Baseline!$A$2:$A$61,0)),"",INDEX(Baseline!E$2:E$61,MATCH(Scores!$A27,Baseline!$A$2:$A$61,0))&amp;" to "&amp;Scores!E27)))</f>
        <v/>
      </c>
      <c r="E27" s="12" t="str">
        <f aca="false">IF(Scores!$A27="","",IF(ISNA(MATCH(Scores!$A27,Baseline!$A$2:$A$61,0)),"new",IF(Scores!F27=INDEX(Baseline!F$2:F$61,MATCH(Scores!$A27,Baseline!$A$2:$A$61,0)),"",INDEX(Baseline!F$2:F$61,MATCH(Scores!$A27,Baseline!$A$2:$A$61,0))&amp;" to "&amp;Scores!F27)))</f>
        <v/>
      </c>
      <c r="F27" s="12" t="str">
        <f aca="false">IF(Scores!$A27="","",IF(ISNA(MATCH(Scores!$A27,Baseline!$A$2:$A$61,0)),"new",IF(Scores!G27=INDEX(Baseline!G$2:G$61,MATCH(Scores!$A27,Baseline!$A$2:$A$61,0)),"",INDEX(Baseline!G$2:G$61,MATCH(Scores!$A27,Baseline!$A$2:$A$61,0))&amp;" to "&amp;Scores!G27)))</f>
        <v/>
      </c>
      <c r="G27" s="12" t="str">
        <f aca="false">IF(Scores!$A27="","",IF(ISNA(MATCH(Scores!$A27,Baseline!$A$2:$A$61,0)),"new",IF(Scores!H27=INDEX(Baseline!H$2:H$61,MATCH(Scores!$A27,Baseline!$A$2:$A$61,0)),"",INDEX(Baseline!H$2:H$61,MATCH(Scores!$A27,Baseline!$A$2:$A$61,0))&amp;" to "&amp;Scores!H27)))</f>
        <v/>
      </c>
      <c r="H27" s="12" t="str">
        <f aca="false">IF(Scores!$A27="","",IF(ISNA(MATCH(Scores!$A27,Baseline!$A$2:$A$61,0)),"new",IF(Scores!I27=INDEX(Baseline!I$2:I$61,MATCH(Scores!$A27,Baseline!$A$2:$A$61,0)),"",INDEX(Baseline!I$2:I$61,MATCH(Scores!$A27,Baseline!$A$2:$A$61,0))&amp;" to "&amp;Scores!I27)))</f>
        <v/>
      </c>
      <c r="I27" s="12" t="str">
        <f aca="false">IF(Scores!$A27="","",IF(ISNA(MATCH(Scores!$A27,Baseline!$A$2:$A$61,0)),"new",IF(Scores!J27=INDEX(Baseline!J$2:J$61,MATCH(Scores!$A27,Baseline!$A$2:$A$61,0)),"",INDEX(Baseline!J$2:J$61,MATCH(Scores!$A27,Baseline!$A$2:$A$61,0))&amp;" to "&amp;Scores!J27)))</f>
        <v/>
      </c>
      <c r="J27" s="12" t="str">
        <f aca="false">IF(Scores!$A27="","",IF(ISNA(MATCH(Scores!$A27,Baseline!$A$2:$A$61,0)),"new",IF(Scores!K27=INDEX(Baseline!K$2:K$61,MATCH(Scores!$A27,Baseline!$A$2:$A$61,0)),"",INDEX(Baseline!K$2:K$61,MATCH(Scores!$A27,Baseline!$A$2:$A$61,0))&amp;" to "&amp;Scores!K27)))</f>
        <v/>
      </c>
      <c r="K27" s="12" t="str">
        <f aca="false">IF(Scores!$A27="","",IF(ISNA(MATCH(Scores!$A27,Baseline!$A$2:$A$61,0)),"new",COUNTIF(B27:J27,"* to *")))</f>
        <v/>
      </c>
    </row>
    <row r="28" customFormat="false" ht="15" hidden="false" customHeight="false" outlineLevel="0" collapsed="false">
      <c r="A28" s="12" t="str">
        <f aca="false">IF(Scores!$A28="","",IF(ISNA(MATCH(Scores!$A28,Baseline!$A$2:$A$61,0)),Scores!A28&amp;" (new case)",Scores!A28))</f>
        <v/>
      </c>
      <c r="B28" s="12" t="str">
        <f aca="false">IF(Scores!$A28="","",IF(ISNA(MATCH(Scores!$A28,Baseline!$A$2:$A$61,0)),"new",IF(Scores!C28=INDEX(Baseline!C$2:C$61,MATCH(Scores!$A28,Baseline!$A$2:$A$61,0)),"",INDEX(Baseline!C$2:C$61,MATCH(Scores!$A28,Baseline!$A$2:$A$61,0))&amp;" to "&amp;Scores!C28)))</f>
        <v/>
      </c>
      <c r="C28" s="12" t="str">
        <f aca="false">IF(Scores!$A28="","",IF(ISNA(MATCH(Scores!$A28,Baseline!$A$2:$A$61,0)),"new",IF(Scores!D28=INDEX(Baseline!D$2:D$61,MATCH(Scores!$A28,Baseline!$A$2:$A$61,0)),"",INDEX(Baseline!D$2:D$61,MATCH(Scores!$A28,Baseline!$A$2:$A$61,0))&amp;" to "&amp;Scores!D28)))</f>
        <v/>
      </c>
      <c r="D28" s="12" t="str">
        <f aca="false">IF(Scores!$A28="","",IF(ISNA(MATCH(Scores!$A28,Baseline!$A$2:$A$61,0)),"new",IF(Scores!E28=INDEX(Baseline!E$2:E$61,MATCH(Scores!$A28,Baseline!$A$2:$A$61,0)),"",INDEX(Baseline!E$2:E$61,MATCH(Scores!$A28,Baseline!$A$2:$A$61,0))&amp;" to "&amp;Scores!E28)))</f>
        <v/>
      </c>
      <c r="E28" s="12" t="str">
        <f aca="false">IF(Scores!$A28="","",IF(ISNA(MATCH(Scores!$A28,Baseline!$A$2:$A$61,0)),"new",IF(Scores!F28=INDEX(Baseline!F$2:F$61,MATCH(Scores!$A28,Baseline!$A$2:$A$61,0)),"",INDEX(Baseline!F$2:F$61,MATCH(Scores!$A28,Baseline!$A$2:$A$61,0))&amp;" to "&amp;Scores!F28)))</f>
        <v/>
      </c>
      <c r="F28" s="12" t="str">
        <f aca="false">IF(Scores!$A28="","",IF(ISNA(MATCH(Scores!$A28,Baseline!$A$2:$A$61,0)),"new",IF(Scores!G28=INDEX(Baseline!G$2:G$61,MATCH(Scores!$A28,Baseline!$A$2:$A$61,0)),"",INDEX(Baseline!G$2:G$61,MATCH(Scores!$A28,Baseline!$A$2:$A$61,0))&amp;" to "&amp;Scores!G28)))</f>
        <v/>
      </c>
      <c r="G28" s="12" t="str">
        <f aca="false">IF(Scores!$A28="","",IF(ISNA(MATCH(Scores!$A28,Baseline!$A$2:$A$61,0)),"new",IF(Scores!H28=INDEX(Baseline!H$2:H$61,MATCH(Scores!$A28,Baseline!$A$2:$A$61,0)),"",INDEX(Baseline!H$2:H$61,MATCH(Scores!$A28,Baseline!$A$2:$A$61,0))&amp;" to "&amp;Scores!H28)))</f>
        <v/>
      </c>
      <c r="H28" s="12" t="str">
        <f aca="false">IF(Scores!$A28="","",IF(ISNA(MATCH(Scores!$A28,Baseline!$A$2:$A$61,0)),"new",IF(Scores!I28=INDEX(Baseline!I$2:I$61,MATCH(Scores!$A28,Baseline!$A$2:$A$61,0)),"",INDEX(Baseline!I$2:I$61,MATCH(Scores!$A28,Baseline!$A$2:$A$61,0))&amp;" to "&amp;Scores!I28)))</f>
        <v/>
      </c>
      <c r="I28" s="12" t="str">
        <f aca="false">IF(Scores!$A28="","",IF(ISNA(MATCH(Scores!$A28,Baseline!$A$2:$A$61,0)),"new",IF(Scores!J28=INDEX(Baseline!J$2:J$61,MATCH(Scores!$A28,Baseline!$A$2:$A$61,0)),"",INDEX(Baseline!J$2:J$61,MATCH(Scores!$A28,Baseline!$A$2:$A$61,0))&amp;" to "&amp;Scores!J28)))</f>
        <v/>
      </c>
      <c r="J28" s="12" t="str">
        <f aca="false">IF(Scores!$A28="","",IF(ISNA(MATCH(Scores!$A28,Baseline!$A$2:$A$61,0)),"new",IF(Scores!K28=INDEX(Baseline!K$2:K$61,MATCH(Scores!$A28,Baseline!$A$2:$A$61,0)),"",INDEX(Baseline!K$2:K$61,MATCH(Scores!$A28,Baseline!$A$2:$A$61,0))&amp;" to "&amp;Scores!K28)))</f>
        <v/>
      </c>
      <c r="K28" s="12" t="str">
        <f aca="false">IF(Scores!$A28="","",IF(ISNA(MATCH(Scores!$A28,Baseline!$A$2:$A$61,0)),"new",COUNTIF(B28:J28,"* to *")))</f>
        <v/>
      </c>
    </row>
    <row r="29" customFormat="false" ht="15" hidden="false" customHeight="false" outlineLevel="0" collapsed="false">
      <c r="A29" s="12" t="str">
        <f aca="false">IF(Scores!$A29="","",IF(ISNA(MATCH(Scores!$A29,Baseline!$A$2:$A$61,0)),Scores!A29&amp;" (new case)",Scores!A29))</f>
        <v/>
      </c>
      <c r="B29" s="12" t="str">
        <f aca="false">IF(Scores!$A29="","",IF(ISNA(MATCH(Scores!$A29,Baseline!$A$2:$A$61,0)),"new",IF(Scores!C29=INDEX(Baseline!C$2:C$61,MATCH(Scores!$A29,Baseline!$A$2:$A$61,0)),"",INDEX(Baseline!C$2:C$61,MATCH(Scores!$A29,Baseline!$A$2:$A$61,0))&amp;" to "&amp;Scores!C29)))</f>
        <v/>
      </c>
      <c r="C29" s="12" t="str">
        <f aca="false">IF(Scores!$A29="","",IF(ISNA(MATCH(Scores!$A29,Baseline!$A$2:$A$61,0)),"new",IF(Scores!D29=INDEX(Baseline!D$2:D$61,MATCH(Scores!$A29,Baseline!$A$2:$A$61,0)),"",INDEX(Baseline!D$2:D$61,MATCH(Scores!$A29,Baseline!$A$2:$A$61,0))&amp;" to "&amp;Scores!D29)))</f>
        <v/>
      </c>
      <c r="D29" s="12" t="str">
        <f aca="false">IF(Scores!$A29="","",IF(ISNA(MATCH(Scores!$A29,Baseline!$A$2:$A$61,0)),"new",IF(Scores!E29=INDEX(Baseline!E$2:E$61,MATCH(Scores!$A29,Baseline!$A$2:$A$61,0)),"",INDEX(Baseline!E$2:E$61,MATCH(Scores!$A29,Baseline!$A$2:$A$61,0))&amp;" to "&amp;Scores!E29)))</f>
        <v/>
      </c>
      <c r="E29" s="12" t="str">
        <f aca="false">IF(Scores!$A29="","",IF(ISNA(MATCH(Scores!$A29,Baseline!$A$2:$A$61,0)),"new",IF(Scores!F29=INDEX(Baseline!F$2:F$61,MATCH(Scores!$A29,Baseline!$A$2:$A$61,0)),"",INDEX(Baseline!F$2:F$61,MATCH(Scores!$A29,Baseline!$A$2:$A$61,0))&amp;" to "&amp;Scores!F29)))</f>
        <v/>
      </c>
      <c r="F29" s="12" t="str">
        <f aca="false">IF(Scores!$A29="","",IF(ISNA(MATCH(Scores!$A29,Baseline!$A$2:$A$61,0)),"new",IF(Scores!G29=INDEX(Baseline!G$2:G$61,MATCH(Scores!$A29,Baseline!$A$2:$A$61,0)),"",INDEX(Baseline!G$2:G$61,MATCH(Scores!$A29,Baseline!$A$2:$A$61,0))&amp;" to "&amp;Scores!G29)))</f>
        <v/>
      </c>
      <c r="G29" s="12" t="str">
        <f aca="false">IF(Scores!$A29="","",IF(ISNA(MATCH(Scores!$A29,Baseline!$A$2:$A$61,0)),"new",IF(Scores!H29=INDEX(Baseline!H$2:H$61,MATCH(Scores!$A29,Baseline!$A$2:$A$61,0)),"",INDEX(Baseline!H$2:H$61,MATCH(Scores!$A29,Baseline!$A$2:$A$61,0))&amp;" to "&amp;Scores!H29)))</f>
        <v/>
      </c>
      <c r="H29" s="12" t="str">
        <f aca="false">IF(Scores!$A29="","",IF(ISNA(MATCH(Scores!$A29,Baseline!$A$2:$A$61,0)),"new",IF(Scores!I29=INDEX(Baseline!I$2:I$61,MATCH(Scores!$A29,Baseline!$A$2:$A$61,0)),"",INDEX(Baseline!I$2:I$61,MATCH(Scores!$A29,Baseline!$A$2:$A$61,0))&amp;" to "&amp;Scores!I29)))</f>
        <v/>
      </c>
      <c r="I29" s="12" t="str">
        <f aca="false">IF(Scores!$A29="","",IF(ISNA(MATCH(Scores!$A29,Baseline!$A$2:$A$61,0)),"new",IF(Scores!J29=INDEX(Baseline!J$2:J$61,MATCH(Scores!$A29,Baseline!$A$2:$A$61,0)),"",INDEX(Baseline!J$2:J$61,MATCH(Scores!$A29,Baseline!$A$2:$A$61,0))&amp;" to "&amp;Scores!J29)))</f>
        <v/>
      </c>
      <c r="J29" s="12" t="str">
        <f aca="false">IF(Scores!$A29="","",IF(ISNA(MATCH(Scores!$A29,Baseline!$A$2:$A$61,0)),"new",IF(Scores!K29=INDEX(Baseline!K$2:K$61,MATCH(Scores!$A29,Baseline!$A$2:$A$61,0)),"",INDEX(Baseline!K$2:K$61,MATCH(Scores!$A29,Baseline!$A$2:$A$61,0))&amp;" to "&amp;Scores!K29)))</f>
        <v/>
      </c>
      <c r="K29" s="12" t="str">
        <f aca="false">IF(Scores!$A29="","",IF(ISNA(MATCH(Scores!$A29,Baseline!$A$2:$A$61,0)),"new",COUNTIF(B29:J29,"* to *")))</f>
        <v/>
      </c>
    </row>
    <row r="30" customFormat="false" ht="15" hidden="false" customHeight="false" outlineLevel="0" collapsed="false">
      <c r="A30" s="12" t="str">
        <f aca="false">IF(Scores!$A30="","",IF(ISNA(MATCH(Scores!$A30,Baseline!$A$2:$A$61,0)),Scores!A30&amp;" (new case)",Scores!A30))</f>
        <v/>
      </c>
      <c r="B30" s="12" t="str">
        <f aca="false">IF(Scores!$A30="","",IF(ISNA(MATCH(Scores!$A30,Baseline!$A$2:$A$61,0)),"new",IF(Scores!C30=INDEX(Baseline!C$2:C$61,MATCH(Scores!$A30,Baseline!$A$2:$A$61,0)),"",INDEX(Baseline!C$2:C$61,MATCH(Scores!$A30,Baseline!$A$2:$A$61,0))&amp;" to "&amp;Scores!C30)))</f>
        <v/>
      </c>
      <c r="C30" s="12" t="str">
        <f aca="false">IF(Scores!$A30="","",IF(ISNA(MATCH(Scores!$A30,Baseline!$A$2:$A$61,0)),"new",IF(Scores!D30=INDEX(Baseline!D$2:D$61,MATCH(Scores!$A30,Baseline!$A$2:$A$61,0)),"",INDEX(Baseline!D$2:D$61,MATCH(Scores!$A30,Baseline!$A$2:$A$61,0))&amp;" to "&amp;Scores!D30)))</f>
        <v/>
      </c>
      <c r="D30" s="12" t="str">
        <f aca="false">IF(Scores!$A30="","",IF(ISNA(MATCH(Scores!$A30,Baseline!$A$2:$A$61,0)),"new",IF(Scores!E30=INDEX(Baseline!E$2:E$61,MATCH(Scores!$A30,Baseline!$A$2:$A$61,0)),"",INDEX(Baseline!E$2:E$61,MATCH(Scores!$A30,Baseline!$A$2:$A$61,0))&amp;" to "&amp;Scores!E30)))</f>
        <v/>
      </c>
      <c r="E30" s="12" t="str">
        <f aca="false">IF(Scores!$A30="","",IF(ISNA(MATCH(Scores!$A30,Baseline!$A$2:$A$61,0)),"new",IF(Scores!F30=INDEX(Baseline!F$2:F$61,MATCH(Scores!$A30,Baseline!$A$2:$A$61,0)),"",INDEX(Baseline!F$2:F$61,MATCH(Scores!$A30,Baseline!$A$2:$A$61,0))&amp;" to "&amp;Scores!F30)))</f>
        <v/>
      </c>
      <c r="F30" s="12" t="str">
        <f aca="false">IF(Scores!$A30="","",IF(ISNA(MATCH(Scores!$A30,Baseline!$A$2:$A$61,0)),"new",IF(Scores!G30=INDEX(Baseline!G$2:G$61,MATCH(Scores!$A30,Baseline!$A$2:$A$61,0)),"",INDEX(Baseline!G$2:G$61,MATCH(Scores!$A30,Baseline!$A$2:$A$61,0))&amp;" to "&amp;Scores!G30)))</f>
        <v/>
      </c>
      <c r="G30" s="12" t="str">
        <f aca="false">IF(Scores!$A30="","",IF(ISNA(MATCH(Scores!$A30,Baseline!$A$2:$A$61,0)),"new",IF(Scores!H30=INDEX(Baseline!H$2:H$61,MATCH(Scores!$A30,Baseline!$A$2:$A$61,0)),"",INDEX(Baseline!H$2:H$61,MATCH(Scores!$A30,Baseline!$A$2:$A$61,0))&amp;" to "&amp;Scores!H30)))</f>
        <v/>
      </c>
      <c r="H30" s="12" t="str">
        <f aca="false">IF(Scores!$A30="","",IF(ISNA(MATCH(Scores!$A30,Baseline!$A$2:$A$61,0)),"new",IF(Scores!I30=INDEX(Baseline!I$2:I$61,MATCH(Scores!$A30,Baseline!$A$2:$A$61,0)),"",INDEX(Baseline!I$2:I$61,MATCH(Scores!$A30,Baseline!$A$2:$A$61,0))&amp;" to "&amp;Scores!I30)))</f>
        <v/>
      </c>
      <c r="I30" s="12" t="str">
        <f aca="false">IF(Scores!$A30="","",IF(ISNA(MATCH(Scores!$A30,Baseline!$A$2:$A$61,0)),"new",IF(Scores!J30=INDEX(Baseline!J$2:J$61,MATCH(Scores!$A30,Baseline!$A$2:$A$61,0)),"",INDEX(Baseline!J$2:J$61,MATCH(Scores!$A30,Baseline!$A$2:$A$61,0))&amp;" to "&amp;Scores!J30)))</f>
        <v/>
      </c>
      <c r="J30" s="12" t="str">
        <f aca="false">IF(Scores!$A30="","",IF(ISNA(MATCH(Scores!$A30,Baseline!$A$2:$A$61,0)),"new",IF(Scores!K30=INDEX(Baseline!K$2:K$61,MATCH(Scores!$A30,Baseline!$A$2:$A$61,0)),"",INDEX(Baseline!K$2:K$61,MATCH(Scores!$A30,Baseline!$A$2:$A$61,0))&amp;" to "&amp;Scores!K30)))</f>
        <v/>
      </c>
      <c r="K30" s="12" t="str">
        <f aca="false">IF(Scores!$A30="","",IF(ISNA(MATCH(Scores!$A30,Baseline!$A$2:$A$61,0)),"new",COUNTIF(B30:J30,"* to *")))</f>
        <v/>
      </c>
    </row>
    <row r="31" customFormat="false" ht="15" hidden="false" customHeight="false" outlineLevel="0" collapsed="false">
      <c r="A31" s="12" t="str">
        <f aca="false">IF(Scores!$A31="","",IF(ISNA(MATCH(Scores!$A31,Baseline!$A$2:$A$61,0)),Scores!A31&amp;" (new case)",Scores!A31))</f>
        <v/>
      </c>
      <c r="B31" s="12" t="str">
        <f aca="false">IF(Scores!$A31="","",IF(ISNA(MATCH(Scores!$A31,Baseline!$A$2:$A$61,0)),"new",IF(Scores!C31=INDEX(Baseline!C$2:C$61,MATCH(Scores!$A31,Baseline!$A$2:$A$61,0)),"",INDEX(Baseline!C$2:C$61,MATCH(Scores!$A31,Baseline!$A$2:$A$61,0))&amp;" to "&amp;Scores!C31)))</f>
        <v/>
      </c>
      <c r="C31" s="12" t="str">
        <f aca="false">IF(Scores!$A31="","",IF(ISNA(MATCH(Scores!$A31,Baseline!$A$2:$A$61,0)),"new",IF(Scores!D31=INDEX(Baseline!D$2:D$61,MATCH(Scores!$A31,Baseline!$A$2:$A$61,0)),"",INDEX(Baseline!D$2:D$61,MATCH(Scores!$A31,Baseline!$A$2:$A$61,0))&amp;" to "&amp;Scores!D31)))</f>
        <v/>
      </c>
      <c r="D31" s="12" t="str">
        <f aca="false">IF(Scores!$A31="","",IF(ISNA(MATCH(Scores!$A31,Baseline!$A$2:$A$61,0)),"new",IF(Scores!E31=INDEX(Baseline!E$2:E$61,MATCH(Scores!$A31,Baseline!$A$2:$A$61,0)),"",INDEX(Baseline!E$2:E$61,MATCH(Scores!$A31,Baseline!$A$2:$A$61,0))&amp;" to "&amp;Scores!E31)))</f>
        <v/>
      </c>
      <c r="E31" s="12" t="str">
        <f aca="false">IF(Scores!$A31="","",IF(ISNA(MATCH(Scores!$A31,Baseline!$A$2:$A$61,0)),"new",IF(Scores!F31=INDEX(Baseline!F$2:F$61,MATCH(Scores!$A31,Baseline!$A$2:$A$61,0)),"",INDEX(Baseline!F$2:F$61,MATCH(Scores!$A31,Baseline!$A$2:$A$61,0))&amp;" to "&amp;Scores!F31)))</f>
        <v/>
      </c>
      <c r="F31" s="12" t="str">
        <f aca="false">IF(Scores!$A31="","",IF(ISNA(MATCH(Scores!$A31,Baseline!$A$2:$A$61,0)),"new",IF(Scores!G31=INDEX(Baseline!G$2:G$61,MATCH(Scores!$A31,Baseline!$A$2:$A$61,0)),"",INDEX(Baseline!G$2:G$61,MATCH(Scores!$A31,Baseline!$A$2:$A$61,0))&amp;" to "&amp;Scores!G31)))</f>
        <v/>
      </c>
      <c r="G31" s="12" t="str">
        <f aca="false">IF(Scores!$A31="","",IF(ISNA(MATCH(Scores!$A31,Baseline!$A$2:$A$61,0)),"new",IF(Scores!H31=INDEX(Baseline!H$2:H$61,MATCH(Scores!$A31,Baseline!$A$2:$A$61,0)),"",INDEX(Baseline!H$2:H$61,MATCH(Scores!$A31,Baseline!$A$2:$A$61,0))&amp;" to "&amp;Scores!H31)))</f>
        <v/>
      </c>
      <c r="H31" s="12" t="str">
        <f aca="false">IF(Scores!$A31="","",IF(ISNA(MATCH(Scores!$A31,Baseline!$A$2:$A$61,0)),"new",IF(Scores!I31=INDEX(Baseline!I$2:I$61,MATCH(Scores!$A31,Baseline!$A$2:$A$61,0)),"",INDEX(Baseline!I$2:I$61,MATCH(Scores!$A31,Baseline!$A$2:$A$61,0))&amp;" to "&amp;Scores!I31)))</f>
        <v/>
      </c>
      <c r="I31" s="12" t="str">
        <f aca="false">IF(Scores!$A31="","",IF(ISNA(MATCH(Scores!$A31,Baseline!$A$2:$A$61,0)),"new",IF(Scores!J31=INDEX(Baseline!J$2:J$61,MATCH(Scores!$A31,Baseline!$A$2:$A$61,0)),"",INDEX(Baseline!J$2:J$61,MATCH(Scores!$A31,Baseline!$A$2:$A$61,0))&amp;" to "&amp;Scores!J31)))</f>
        <v/>
      </c>
      <c r="J31" s="12" t="str">
        <f aca="false">IF(Scores!$A31="","",IF(ISNA(MATCH(Scores!$A31,Baseline!$A$2:$A$61,0)),"new",IF(Scores!K31=INDEX(Baseline!K$2:K$61,MATCH(Scores!$A31,Baseline!$A$2:$A$61,0)),"",INDEX(Baseline!K$2:K$61,MATCH(Scores!$A31,Baseline!$A$2:$A$61,0))&amp;" to "&amp;Scores!K31)))</f>
        <v/>
      </c>
      <c r="K31" s="12" t="str">
        <f aca="false">IF(Scores!$A31="","",IF(ISNA(MATCH(Scores!$A31,Baseline!$A$2:$A$61,0)),"new",COUNTIF(B31:J31,"* to *")))</f>
        <v/>
      </c>
    </row>
    <row r="32" customFormat="false" ht="15" hidden="false" customHeight="false" outlineLevel="0" collapsed="false">
      <c r="A32" s="12" t="str">
        <f aca="false">IF(Scores!$A32="","",IF(ISNA(MATCH(Scores!$A32,Baseline!$A$2:$A$61,0)),Scores!A32&amp;" (new case)",Scores!A32))</f>
        <v/>
      </c>
      <c r="B32" s="12" t="str">
        <f aca="false">IF(Scores!$A32="","",IF(ISNA(MATCH(Scores!$A32,Baseline!$A$2:$A$61,0)),"new",IF(Scores!C32=INDEX(Baseline!C$2:C$61,MATCH(Scores!$A32,Baseline!$A$2:$A$61,0)),"",INDEX(Baseline!C$2:C$61,MATCH(Scores!$A32,Baseline!$A$2:$A$61,0))&amp;" to "&amp;Scores!C32)))</f>
        <v/>
      </c>
      <c r="C32" s="12" t="str">
        <f aca="false">IF(Scores!$A32="","",IF(ISNA(MATCH(Scores!$A32,Baseline!$A$2:$A$61,0)),"new",IF(Scores!D32=INDEX(Baseline!D$2:D$61,MATCH(Scores!$A32,Baseline!$A$2:$A$61,0)),"",INDEX(Baseline!D$2:D$61,MATCH(Scores!$A32,Baseline!$A$2:$A$61,0))&amp;" to "&amp;Scores!D32)))</f>
        <v/>
      </c>
      <c r="D32" s="12" t="str">
        <f aca="false">IF(Scores!$A32="","",IF(ISNA(MATCH(Scores!$A32,Baseline!$A$2:$A$61,0)),"new",IF(Scores!E32=INDEX(Baseline!E$2:E$61,MATCH(Scores!$A32,Baseline!$A$2:$A$61,0)),"",INDEX(Baseline!E$2:E$61,MATCH(Scores!$A32,Baseline!$A$2:$A$61,0))&amp;" to "&amp;Scores!E32)))</f>
        <v/>
      </c>
      <c r="E32" s="12" t="str">
        <f aca="false">IF(Scores!$A32="","",IF(ISNA(MATCH(Scores!$A32,Baseline!$A$2:$A$61,0)),"new",IF(Scores!F32=INDEX(Baseline!F$2:F$61,MATCH(Scores!$A32,Baseline!$A$2:$A$61,0)),"",INDEX(Baseline!F$2:F$61,MATCH(Scores!$A32,Baseline!$A$2:$A$61,0))&amp;" to "&amp;Scores!F32)))</f>
        <v/>
      </c>
      <c r="F32" s="12" t="str">
        <f aca="false">IF(Scores!$A32="","",IF(ISNA(MATCH(Scores!$A32,Baseline!$A$2:$A$61,0)),"new",IF(Scores!G32=INDEX(Baseline!G$2:G$61,MATCH(Scores!$A32,Baseline!$A$2:$A$61,0)),"",INDEX(Baseline!G$2:G$61,MATCH(Scores!$A32,Baseline!$A$2:$A$61,0))&amp;" to "&amp;Scores!G32)))</f>
        <v/>
      </c>
      <c r="G32" s="12" t="str">
        <f aca="false">IF(Scores!$A32="","",IF(ISNA(MATCH(Scores!$A32,Baseline!$A$2:$A$61,0)),"new",IF(Scores!H32=INDEX(Baseline!H$2:H$61,MATCH(Scores!$A32,Baseline!$A$2:$A$61,0)),"",INDEX(Baseline!H$2:H$61,MATCH(Scores!$A32,Baseline!$A$2:$A$61,0))&amp;" to "&amp;Scores!H32)))</f>
        <v/>
      </c>
      <c r="H32" s="12" t="str">
        <f aca="false">IF(Scores!$A32="","",IF(ISNA(MATCH(Scores!$A32,Baseline!$A$2:$A$61,0)),"new",IF(Scores!I32=INDEX(Baseline!I$2:I$61,MATCH(Scores!$A32,Baseline!$A$2:$A$61,0)),"",INDEX(Baseline!I$2:I$61,MATCH(Scores!$A32,Baseline!$A$2:$A$61,0))&amp;" to "&amp;Scores!I32)))</f>
        <v/>
      </c>
      <c r="I32" s="12" t="str">
        <f aca="false">IF(Scores!$A32="","",IF(ISNA(MATCH(Scores!$A32,Baseline!$A$2:$A$61,0)),"new",IF(Scores!J32=INDEX(Baseline!J$2:J$61,MATCH(Scores!$A32,Baseline!$A$2:$A$61,0)),"",INDEX(Baseline!J$2:J$61,MATCH(Scores!$A32,Baseline!$A$2:$A$61,0))&amp;" to "&amp;Scores!J32)))</f>
        <v/>
      </c>
      <c r="J32" s="12" t="str">
        <f aca="false">IF(Scores!$A32="","",IF(ISNA(MATCH(Scores!$A32,Baseline!$A$2:$A$61,0)),"new",IF(Scores!K32=INDEX(Baseline!K$2:K$61,MATCH(Scores!$A32,Baseline!$A$2:$A$61,0)),"",INDEX(Baseline!K$2:K$61,MATCH(Scores!$A32,Baseline!$A$2:$A$61,0))&amp;" to "&amp;Scores!K32)))</f>
        <v/>
      </c>
      <c r="K32" s="12" t="str">
        <f aca="false">IF(Scores!$A32="","",IF(ISNA(MATCH(Scores!$A32,Baseline!$A$2:$A$61,0)),"new",COUNTIF(B32:J32,"* to *")))</f>
        <v/>
      </c>
    </row>
    <row r="33" customFormat="false" ht="15" hidden="false" customHeight="false" outlineLevel="0" collapsed="false">
      <c r="A33" s="12" t="str">
        <f aca="false">IF(Scores!$A33="","",IF(ISNA(MATCH(Scores!$A33,Baseline!$A$2:$A$61,0)),Scores!A33&amp;" (new case)",Scores!A33))</f>
        <v/>
      </c>
      <c r="B33" s="12" t="str">
        <f aca="false">IF(Scores!$A33="","",IF(ISNA(MATCH(Scores!$A33,Baseline!$A$2:$A$61,0)),"new",IF(Scores!C33=INDEX(Baseline!C$2:C$61,MATCH(Scores!$A33,Baseline!$A$2:$A$61,0)),"",INDEX(Baseline!C$2:C$61,MATCH(Scores!$A33,Baseline!$A$2:$A$61,0))&amp;" to "&amp;Scores!C33)))</f>
        <v/>
      </c>
      <c r="C33" s="12" t="str">
        <f aca="false">IF(Scores!$A33="","",IF(ISNA(MATCH(Scores!$A33,Baseline!$A$2:$A$61,0)),"new",IF(Scores!D33=INDEX(Baseline!D$2:D$61,MATCH(Scores!$A33,Baseline!$A$2:$A$61,0)),"",INDEX(Baseline!D$2:D$61,MATCH(Scores!$A33,Baseline!$A$2:$A$61,0))&amp;" to "&amp;Scores!D33)))</f>
        <v/>
      </c>
      <c r="D33" s="12" t="str">
        <f aca="false">IF(Scores!$A33="","",IF(ISNA(MATCH(Scores!$A33,Baseline!$A$2:$A$61,0)),"new",IF(Scores!E33=INDEX(Baseline!E$2:E$61,MATCH(Scores!$A33,Baseline!$A$2:$A$61,0)),"",INDEX(Baseline!E$2:E$61,MATCH(Scores!$A33,Baseline!$A$2:$A$61,0))&amp;" to "&amp;Scores!E33)))</f>
        <v/>
      </c>
      <c r="E33" s="12" t="str">
        <f aca="false">IF(Scores!$A33="","",IF(ISNA(MATCH(Scores!$A33,Baseline!$A$2:$A$61,0)),"new",IF(Scores!F33=INDEX(Baseline!F$2:F$61,MATCH(Scores!$A33,Baseline!$A$2:$A$61,0)),"",INDEX(Baseline!F$2:F$61,MATCH(Scores!$A33,Baseline!$A$2:$A$61,0))&amp;" to "&amp;Scores!F33)))</f>
        <v/>
      </c>
      <c r="F33" s="12" t="str">
        <f aca="false">IF(Scores!$A33="","",IF(ISNA(MATCH(Scores!$A33,Baseline!$A$2:$A$61,0)),"new",IF(Scores!G33=INDEX(Baseline!G$2:G$61,MATCH(Scores!$A33,Baseline!$A$2:$A$61,0)),"",INDEX(Baseline!G$2:G$61,MATCH(Scores!$A33,Baseline!$A$2:$A$61,0))&amp;" to "&amp;Scores!G33)))</f>
        <v/>
      </c>
      <c r="G33" s="12" t="str">
        <f aca="false">IF(Scores!$A33="","",IF(ISNA(MATCH(Scores!$A33,Baseline!$A$2:$A$61,0)),"new",IF(Scores!H33=INDEX(Baseline!H$2:H$61,MATCH(Scores!$A33,Baseline!$A$2:$A$61,0)),"",INDEX(Baseline!H$2:H$61,MATCH(Scores!$A33,Baseline!$A$2:$A$61,0))&amp;" to "&amp;Scores!H33)))</f>
        <v/>
      </c>
      <c r="H33" s="12" t="str">
        <f aca="false">IF(Scores!$A33="","",IF(ISNA(MATCH(Scores!$A33,Baseline!$A$2:$A$61,0)),"new",IF(Scores!I33=INDEX(Baseline!I$2:I$61,MATCH(Scores!$A33,Baseline!$A$2:$A$61,0)),"",INDEX(Baseline!I$2:I$61,MATCH(Scores!$A33,Baseline!$A$2:$A$61,0))&amp;" to "&amp;Scores!I33)))</f>
        <v/>
      </c>
      <c r="I33" s="12" t="str">
        <f aca="false">IF(Scores!$A33="","",IF(ISNA(MATCH(Scores!$A33,Baseline!$A$2:$A$61,0)),"new",IF(Scores!J33=INDEX(Baseline!J$2:J$61,MATCH(Scores!$A33,Baseline!$A$2:$A$61,0)),"",INDEX(Baseline!J$2:J$61,MATCH(Scores!$A33,Baseline!$A$2:$A$61,0))&amp;" to "&amp;Scores!J33)))</f>
        <v/>
      </c>
      <c r="J33" s="12" t="str">
        <f aca="false">IF(Scores!$A33="","",IF(ISNA(MATCH(Scores!$A33,Baseline!$A$2:$A$61,0)),"new",IF(Scores!K33=INDEX(Baseline!K$2:K$61,MATCH(Scores!$A33,Baseline!$A$2:$A$61,0)),"",INDEX(Baseline!K$2:K$61,MATCH(Scores!$A33,Baseline!$A$2:$A$61,0))&amp;" to "&amp;Scores!K33)))</f>
        <v/>
      </c>
      <c r="K33" s="12" t="str">
        <f aca="false">IF(Scores!$A33="","",IF(ISNA(MATCH(Scores!$A33,Baseline!$A$2:$A$61,0)),"new",COUNTIF(B33:J33,"* to *")))</f>
        <v/>
      </c>
    </row>
    <row r="34" customFormat="false" ht="15" hidden="false" customHeight="false" outlineLevel="0" collapsed="false">
      <c r="A34" s="12" t="str">
        <f aca="false">IF(Scores!$A34="","",IF(ISNA(MATCH(Scores!$A34,Baseline!$A$2:$A$61,0)),Scores!A34&amp;" (new case)",Scores!A34))</f>
        <v/>
      </c>
      <c r="B34" s="12" t="str">
        <f aca="false">IF(Scores!$A34="","",IF(ISNA(MATCH(Scores!$A34,Baseline!$A$2:$A$61,0)),"new",IF(Scores!C34=INDEX(Baseline!C$2:C$61,MATCH(Scores!$A34,Baseline!$A$2:$A$61,0)),"",INDEX(Baseline!C$2:C$61,MATCH(Scores!$A34,Baseline!$A$2:$A$61,0))&amp;" to "&amp;Scores!C34)))</f>
        <v/>
      </c>
      <c r="C34" s="12" t="str">
        <f aca="false">IF(Scores!$A34="","",IF(ISNA(MATCH(Scores!$A34,Baseline!$A$2:$A$61,0)),"new",IF(Scores!D34=INDEX(Baseline!D$2:D$61,MATCH(Scores!$A34,Baseline!$A$2:$A$61,0)),"",INDEX(Baseline!D$2:D$61,MATCH(Scores!$A34,Baseline!$A$2:$A$61,0))&amp;" to "&amp;Scores!D34)))</f>
        <v/>
      </c>
      <c r="D34" s="12" t="str">
        <f aca="false">IF(Scores!$A34="","",IF(ISNA(MATCH(Scores!$A34,Baseline!$A$2:$A$61,0)),"new",IF(Scores!E34=INDEX(Baseline!E$2:E$61,MATCH(Scores!$A34,Baseline!$A$2:$A$61,0)),"",INDEX(Baseline!E$2:E$61,MATCH(Scores!$A34,Baseline!$A$2:$A$61,0))&amp;" to "&amp;Scores!E34)))</f>
        <v/>
      </c>
      <c r="E34" s="12" t="str">
        <f aca="false">IF(Scores!$A34="","",IF(ISNA(MATCH(Scores!$A34,Baseline!$A$2:$A$61,0)),"new",IF(Scores!F34=INDEX(Baseline!F$2:F$61,MATCH(Scores!$A34,Baseline!$A$2:$A$61,0)),"",INDEX(Baseline!F$2:F$61,MATCH(Scores!$A34,Baseline!$A$2:$A$61,0))&amp;" to "&amp;Scores!F34)))</f>
        <v/>
      </c>
      <c r="F34" s="12" t="str">
        <f aca="false">IF(Scores!$A34="","",IF(ISNA(MATCH(Scores!$A34,Baseline!$A$2:$A$61,0)),"new",IF(Scores!G34=INDEX(Baseline!G$2:G$61,MATCH(Scores!$A34,Baseline!$A$2:$A$61,0)),"",INDEX(Baseline!G$2:G$61,MATCH(Scores!$A34,Baseline!$A$2:$A$61,0))&amp;" to "&amp;Scores!G34)))</f>
        <v/>
      </c>
      <c r="G34" s="12" t="str">
        <f aca="false">IF(Scores!$A34="","",IF(ISNA(MATCH(Scores!$A34,Baseline!$A$2:$A$61,0)),"new",IF(Scores!H34=INDEX(Baseline!H$2:H$61,MATCH(Scores!$A34,Baseline!$A$2:$A$61,0)),"",INDEX(Baseline!H$2:H$61,MATCH(Scores!$A34,Baseline!$A$2:$A$61,0))&amp;" to "&amp;Scores!H34)))</f>
        <v/>
      </c>
      <c r="H34" s="12" t="str">
        <f aca="false">IF(Scores!$A34="","",IF(ISNA(MATCH(Scores!$A34,Baseline!$A$2:$A$61,0)),"new",IF(Scores!I34=INDEX(Baseline!I$2:I$61,MATCH(Scores!$A34,Baseline!$A$2:$A$61,0)),"",INDEX(Baseline!I$2:I$61,MATCH(Scores!$A34,Baseline!$A$2:$A$61,0))&amp;" to "&amp;Scores!I34)))</f>
        <v/>
      </c>
      <c r="I34" s="12" t="str">
        <f aca="false">IF(Scores!$A34="","",IF(ISNA(MATCH(Scores!$A34,Baseline!$A$2:$A$61,0)),"new",IF(Scores!J34=INDEX(Baseline!J$2:J$61,MATCH(Scores!$A34,Baseline!$A$2:$A$61,0)),"",INDEX(Baseline!J$2:J$61,MATCH(Scores!$A34,Baseline!$A$2:$A$61,0))&amp;" to "&amp;Scores!J34)))</f>
        <v/>
      </c>
      <c r="J34" s="12" t="str">
        <f aca="false">IF(Scores!$A34="","",IF(ISNA(MATCH(Scores!$A34,Baseline!$A$2:$A$61,0)),"new",IF(Scores!K34=INDEX(Baseline!K$2:K$61,MATCH(Scores!$A34,Baseline!$A$2:$A$61,0)),"",INDEX(Baseline!K$2:K$61,MATCH(Scores!$A34,Baseline!$A$2:$A$61,0))&amp;" to "&amp;Scores!K34)))</f>
        <v/>
      </c>
      <c r="K34" s="12" t="str">
        <f aca="false">IF(Scores!$A34="","",IF(ISNA(MATCH(Scores!$A34,Baseline!$A$2:$A$61,0)),"new",COUNTIF(B34:J34,"* to *")))</f>
        <v/>
      </c>
    </row>
    <row r="35" customFormat="false" ht="15" hidden="false" customHeight="false" outlineLevel="0" collapsed="false">
      <c r="A35" s="12" t="str">
        <f aca="false">IF(Scores!$A35="","",IF(ISNA(MATCH(Scores!$A35,Baseline!$A$2:$A$61,0)),Scores!A35&amp;" (new case)",Scores!A35))</f>
        <v/>
      </c>
      <c r="B35" s="12" t="str">
        <f aca="false">IF(Scores!$A35="","",IF(ISNA(MATCH(Scores!$A35,Baseline!$A$2:$A$61,0)),"new",IF(Scores!C35=INDEX(Baseline!C$2:C$61,MATCH(Scores!$A35,Baseline!$A$2:$A$61,0)),"",INDEX(Baseline!C$2:C$61,MATCH(Scores!$A35,Baseline!$A$2:$A$61,0))&amp;" to "&amp;Scores!C35)))</f>
        <v/>
      </c>
      <c r="C35" s="12" t="str">
        <f aca="false">IF(Scores!$A35="","",IF(ISNA(MATCH(Scores!$A35,Baseline!$A$2:$A$61,0)),"new",IF(Scores!D35=INDEX(Baseline!D$2:D$61,MATCH(Scores!$A35,Baseline!$A$2:$A$61,0)),"",INDEX(Baseline!D$2:D$61,MATCH(Scores!$A35,Baseline!$A$2:$A$61,0))&amp;" to "&amp;Scores!D35)))</f>
        <v/>
      </c>
      <c r="D35" s="12" t="str">
        <f aca="false">IF(Scores!$A35="","",IF(ISNA(MATCH(Scores!$A35,Baseline!$A$2:$A$61,0)),"new",IF(Scores!E35=INDEX(Baseline!E$2:E$61,MATCH(Scores!$A35,Baseline!$A$2:$A$61,0)),"",INDEX(Baseline!E$2:E$61,MATCH(Scores!$A35,Baseline!$A$2:$A$61,0))&amp;" to "&amp;Scores!E35)))</f>
        <v/>
      </c>
      <c r="E35" s="12" t="str">
        <f aca="false">IF(Scores!$A35="","",IF(ISNA(MATCH(Scores!$A35,Baseline!$A$2:$A$61,0)),"new",IF(Scores!F35=INDEX(Baseline!F$2:F$61,MATCH(Scores!$A35,Baseline!$A$2:$A$61,0)),"",INDEX(Baseline!F$2:F$61,MATCH(Scores!$A35,Baseline!$A$2:$A$61,0))&amp;" to "&amp;Scores!F35)))</f>
        <v/>
      </c>
      <c r="F35" s="12" t="str">
        <f aca="false">IF(Scores!$A35="","",IF(ISNA(MATCH(Scores!$A35,Baseline!$A$2:$A$61,0)),"new",IF(Scores!G35=INDEX(Baseline!G$2:G$61,MATCH(Scores!$A35,Baseline!$A$2:$A$61,0)),"",INDEX(Baseline!G$2:G$61,MATCH(Scores!$A35,Baseline!$A$2:$A$61,0))&amp;" to "&amp;Scores!G35)))</f>
        <v/>
      </c>
      <c r="G35" s="12" t="str">
        <f aca="false">IF(Scores!$A35="","",IF(ISNA(MATCH(Scores!$A35,Baseline!$A$2:$A$61,0)),"new",IF(Scores!H35=INDEX(Baseline!H$2:H$61,MATCH(Scores!$A35,Baseline!$A$2:$A$61,0)),"",INDEX(Baseline!H$2:H$61,MATCH(Scores!$A35,Baseline!$A$2:$A$61,0))&amp;" to "&amp;Scores!H35)))</f>
        <v/>
      </c>
      <c r="H35" s="12" t="str">
        <f aca="false">IF(Scores!$A35="","",IF(ISNA(MATCH(Scores!$A35,Baseline!$A$2:$A$61,0)),"new",IF(Scores!I35=INDEX(Baseline!I$2:I$61,MATCH(Scores!$A35,Baseline!$A$2:$A$61,0)),"",INDEX(Baseline!I$2:I$61,MATCH(Scores!$A35,Baseline!$A$2:$A$61,0))&amp;" to "&amp;Scores!I35)))</f>
        <v/>
      </c>
      <c r="I35" s="12" t="str">
        <f aca="false">IF(Scores!$A35="","",IF(ISNA(MATCH(Scores!$A35,Baseline!$A$2:$A$61,0)),"new",IF(Scores!J35=INDEX(Baseline!J$2:J$61,MATCH(Scores!$A35,Baseline!$A$2:$A$61,0)),"",INDEX(Baseline!J$2:J$61,MATCH(Scores!$A35,Baseline!$A$2:$A$61,0))&amp;" to "&amp;Scores!J35)))</f>
        <v/>
      </c>
      <c r="J35" s="12" t="str">
        <f aca="false">IF(Scores!$A35="","",IF(ISNA(MATCH(Scores!$A35,Baseline!$A$2:$A$61,0)),"new",IF(Scores!K35=INDEX(Baseline!K$2:K$61,MATCH(Scores!$A35,Baseline!$A$2:$A$61,0)),"",INDEX(Baseline!K$2:K$61,MATCH(Scores!$A35,Baseline!$A$2:$A$61,0))&amp;" to "&amp;Scores!K35)))</f>
        <v/>
      </c>
      <c r="K35" s="12" t="str">
        <f aca="false">IF(Scores!$A35="","",IF(ISNA(MATCH(Scores!$A35,Baseline!$A$2:$A$61,0)),"new",COUNTIF(B35:J35,"* to *")))</f>
        <v/>
      </c>
    </row>
    <row r="36" customFormat="false" ht="15" hidden="false" customHeight="false" outlineLevel="0" collapsed="false">
      <c r="A36" s="12" t="str">
        <f aca="false">IF(Scores!$A36="","",IF(ISNA(MATCH(Scores!$A36,Baseline!$A$2:$A$61,0)),Scores!A36&amp;" (new case)",Scores!A36))</f>
        <v/>
      </c>
      <c r="B36" s="12" t="str">
        <f aca="false">IF(Scores!$A36="","",IF(ISNA(MATCH(Scores!$A36,Baseline!$A$2:$A$61,0)),"new",IF(Scores!C36=INDEX(Baseline!C$2:C$61,MATCH(Scores!$A36,Baseline!$A$2:$A$61,0)),"",INDEX(Baseline!C$2:C$61,MATCH(Scores!$A36,Baseline!$A$2:$A$61,0))&amp;" to "&amp;Scores!C36)))</f>
        <v/>
      </c>
      <c r="C36" s="12" t="str">
        <f aca="false">IF(Scores!$A36="","",IF(ISNA(MATCH(Scores!$A36,Baseline!$A$2:$A$61,0)),"new",IF(Scores!D36=INDEX(Baseline!D$2:D$61,MATCH(Scores!$A36,Baseline!$A$2:$A$61,0)),"",INDEX(Baseline!D$2:D$61,MATCH(Scores!$A36,Baseline!$A$2:$A$61,0))&amp;" to "&amp;Scores!D36)))</f>
        <v/>
      </c>
      <c r="D36" s="12" t="str">
        <f aca="false">IF(Scores!$A36="","",IF(ISNA(MATCH(Scores!$A36,Baseline!$A$2:$A$61,0)),"new",IF(Scores!E36=INDEX(Baseline!E$2:E$61,MATCH(Scores!$A36,Baseline!$A$2:$A$61,0)),"",INDEX(Baseline!E$2:E$61,MATCH(Scores!$A36,Baseline!$A$2:$A$61,0))&amp;" to "&amp;Scores!E36)))</f>
        <v/>
      </c>
      <c r="E36" s="12" t="str">
        <f aca="false">IF(Scores!$A36="","",IF(ISNA(MATCH(Scores!$A36,Baseline!$A$2:$A$61,0)),"new",IF(Scores!F36=INDEX(Baseline!F$2:F$61,MATCH(Scores!$A36,Baseline!$A$2:$A$61,0)),"",INDEX(Baseline!F$2:F$61,MATCH(Scores!$A36,Baseline!$A$2:$A$61,0))&amp;" to "&amp;Scores!F36)))</f>
        <v/>
      </c>
      <c r="F36" s="12" t="str">
        <f aca="false">IF(Scores!$A36="","",IF(ISNA(MATCH(Scores!$A36,Baseline!$A$2:$A$61,0)),"new",IF(Scores!G36=INDEX(Baseline!G$2:G$61,MATCH(Scores!$A36,Baseline!$A$2:$A$61,0)),"",INDEX(Baseline!G$2:G$61,MATCH(Scores!$A36,Baseline!$A$2:$A$61,0))&amp;" to "&amp;Scores!G36)))</f>
        <v/>
      </c>
      <c r="G36" s="12" t="str">
        <f aca="false">IF(Scores!$A36="","",IF(ISNA(MATCH(Scores!$A36,Baseline!$A$2:$A$61,0)),"new",IF(Scores!H36=INDEX(Baseline!H$2:H$61,MATCH(Scores!$A36,Baseline!$A$2:$A$61,0)),"",INDEX(Baseline!H$2:H$61,MATCH(Scores!$A36,Baseline!$A$2:$A$61,0))&amp;" to "&amp;Scores!H36)))</f>
        <v/>
      </c>
      <c r="H36" s="12" t="str">
        <f aca="false">IF(Scores!$A36="","",IF(ISNA(MATCH(Scores!$A36,Baseline!$A$2:$A$61,0)),"new",IF(Scores!I36=INDEX(Baseline!I$2:I$61,MATCH(Scores!$A36,Baseline!$A$2:$A$61,0)),"",INDEX(Baseline!I$2:I$61,MATCH(Scores!$A36,Baseline!$A$2:$A$61,0))&amp;" to "&amp;Scores!I36)))</f>
        <v/>
      </c>
      <c r="I36" s="12" t="str">
        <f aca="false">IF(Scores!$A36="","",IF(ISNA(MATCH(Scores!$A36,Baseline!$A$2:$A$61,0)),"new",IF(Scores!J36=INDEX(Baseline!J$2:J$61,MATCH(Scores!$A36,Baseline!$A$2:$A$61,0)),"",INDEX(Baseline!J$2:J$61,MATCH(Scores!$A36,Baseline!$A$2:$A$61,0))&amp;" to "&amp;Scores!J36)))</f>
        <v/>
      </c>
      <c r="J36" s="12" t="str">
        <f aca="false">IF(Scores!$A36="","",IF(ISNA(MATCH(Scores!$A36,Baseline!$A$2:$A$61,0)),"new",IF(Scores!K36=INDEX(Baseline!K$2:K$61,MATCH(Scores!$A36,Baseline!$A$2:$A$61,0)),"",INDEX(Baseline!K$2:K$61,MATCH(Scores!$A36,Baseline!$A$2:$A$61,0))&amp;" to "&amp;Scores!K36)))</f>
        <v/>
      </c>
      <c r="K36" s="12" t="str">
        <f aca="false">IF(Scores!$A36="","",IF(ISNA(MATCH(Scores!$A36,Baseline!$A$2:$A$61,0)),"new",COUNTIF(B36:J36,"* to *")))</f>
        <v/>
      </c>
    </row>
    <row r="37" customFormat="false" ht="15" hidden="false" customHeight="false" outlineLevel="0" collapsed="false">
      <c r="A37" s="12" t="str">
        <f aca="false">IF(Scores!$A37="","",IF(ISNA(MATCH(Scores!$A37,Baseline!$A$2:$A$61,0)),Scores!A37&amp;" (new case)",Scores!A37))</f>
        <v/>
      </c>
      <c r="B37" s="12" t="str">
        <f aca="false">IF(Scores!$A37="","",IF(ISNA(MATCH(Scores!$A37,Baseline!$A$2:$A$61,0)),"new",IF(Scores!C37=INDEX(Baseline!C$2:C$61,MATCH(Scores!$A37,Baseline!$A$2:$A$61,0)),"",INDEX(Baseline!C$2:C$61,MATCH(Scores!$A37,Baseline!$A$2:$A$61,0))&amp;" to "&amp;Scores!C37)))</f>
        <v/>
      </c>
      <c r="C37" s="12" t="str">
        <f aca="false">IF(Scores!$A37="","",IF(ISNA(MATCH(Scores!$A37,Baseline!$A$2:$A$61,0)),"new",IF(Scores!D37=INDEX(Baseline!D$2:D$61,MATCH(Scores!$A37,Baseline!$A$2:$A$61,0)),"",INDEX(Baseline!D$2:D$61,MATCH(Scores!$A37,Baseline!$A$2:$A$61,0))&amp;" to "&amp;Scores!D37)))</f>
        <v/>
      </c>
      <c r="D37" s="12" t="str">
        <f aca="false">IF(Scores!$A37="","",IF(ISNA(MATCH(Scores!$A37,Baseline!$A$2:$A$61,0)),"new",IF(Scores!E37=INDEX(Baseline!E$2:E$61,MATCH(Scores!$A37,Baseline!$A$2:$A$61,0)),"",INDEX(Baseline!E$2:E$61,MATCH(Scores!$A37,Baseline!$A$2:$A$61,0))&amp;" to "&amp;Scores!E37)))</f>
        <v/>
      </c>
      <c r="E37" s="12" t="str">
        <f aca="false">IF(Scores!$A37="","",IF(ISNA(MATCH(Scores!$A37,Baseline!$A$2:$A$61,0)),"new",IF(Scores!F37=INDEX(Baseline!F$2:F$61,MATCH(Scores!$A37,Baseline!$A$2:$A$61,0)),"",INDEX(Baseline!F$2:F$61,MATCH(Scores!$A37,Baseline!$A$2:$A$61,0))&amp;" to "&amp;Scores!F37)))</f>
        <v/>
      </c>
      <c r="F37" s="12" t="str">
        <f aca="false">IF(Scores!$A37="","",IF(ISNA(MATCH(Scores!$A37,Baseline!$A$2:$A$61,0)),"new",IF(Scores!G37=INDEX(Baseline!G$2:G$61,MATCH(Scores!$A37,Baseline!$A$2:$A$61,0)),"",INDEX(Baseline!G$2:G$61,MATCH(Scores!$A37,Baseline!$A$2:$A$61,0))&amp;" to "&amp;Scores!G37)))</f>
        <v/>
      </c>
      <c r="G37" s="12" t="str">
        <f aca="false">IF(Scores!$A37="","",IF(ISNA(MATCH(Scores!$A37,Baseline!$A$2:$A$61,0)),"new",IF(Scores!H37=INDEX(Baseline!H$2:H$61,MATCH(Scores!$A37,Baseline!$A$2:$A$61,0)),"",INDEX(Baseline!H$2:H$61,MATCH(Scores!$A37,Baseline!$A$2:$A$61,0))&amp;" to "&amp;Scores!H37)))</f>
        <v/>
      </c>
      <c r="H37" s="12" t="str">
        <f aca="false">IF(Scores!$A37="","",IF(ISNA(MATCH(Scores!$A37,Baseline!$A$2:$A$61,0)),"new",IF(Scores!I37=INDEX(Baseline!I$2:I$61,MATCH(Scores!$A37,Baseline!$A$2:$A$61,0)),"",INDEX(Baseline!I$2:I$61,MATCH(Scores!$A37,Baseline!$A$2:$A$61,0))&amp;" to "&amp;Scores!I37)))</f>
        <v/>
      </c>
      <c r="I37" s="12" t="str">
        <f aca="false">IF(Scores!$A37="","",IF(ISNA(MATCH(Scores!$A37,Baseline!$A$2:$A$61,0)),"new",IF(Scores!J37=INDEX(Baseline!J$2:J$61,MATCH(Scores!$A37,Baseline!$A$2:$A$61,0)),"",INDEX(Baseline!J$2:J$61,MATCH(Scores!$A37,Baseline!$A$2:$A$61,0))&amp;" to "&amp;Scores!J37)))</f>
        <v/>
      </c>
      <c r="J37" s="12" t="str">
        <f aca="false">IF(Scores!$A37="","",IF(ISNA(MATCH(Scores!$A37,Baseline!$A$2:$A$61,0)),"new",IF(Scores!K37=INDEX(Baseline!K$2:K$61,MATCH(Scores!$A37,Baseline!$A$2:$A$61,0)),"",INDEX(Baseline!K$2:K$61,MATCH(Scores!$A37,Baseline!$A$2:$A$61,0))&amp;" to "&amp;Scores!K37)))</f>
        <v/>
      </c>
      <c r="K37" s="12" t="str">
        <f aca="false">IF(Scores!$A37="","",IF(ISNA(MATCH(Scores!$A37,Baseline!$A$2:$A$61,0)),"new",COUNTIF(B37:J37,"* to *")))</f>
        <v/>
      </c>
    </row>
    <row r="38" customFormat="false" ht="15" hidden="false" customHeight="false" outlineLevel="0" collapsed="false">
      <c r="A38" s="12" t="str">
        <f aca="false">IF(Scores!$A38="","",IF(ISNA(MATCH(Scores!$A38,Baseline!$A$2:$A$61,0)),Scores!A38&amp;" (new case)",Scores!A38))</f>
        <v/>
      </c>
      <c r="B38" s="12" t="str">
        <f aca="false">IF(Scores!$A38="","",IF(ISNA(MATCH(Scores!$A38,Baseline!$A$2:$A$61,0)),"new",IF(Scores!C38=INDEX(Baseline!C$2:C$61,MATCH(Scores!$A38,Baseline!$A$2:$A$61,0)),"",INDEX(Baseline!C$2:C$61,MATCH(Scores!$A38,Baseline!$A$2:$A$61,0))&amp;" to "&amp;Scores!C38)))</f>
        <v/>
      </c>
      <c r="C38" s="12" t="str">
        <f aca="false">IF(Scores!$A38="","",IF(ISNA(MATCH(Scores!$A38,Baseline!$A$2:$A$61,0)),"new",IF(Scores!D38=INDEX(Baseline!D$2:D$61,MATCH(Scores!$A38,Baseline!$A$2:$A$61,0)),"",INDEX(Baseline!D$2:D$61,MATCH(Scores!$A38,Baseline!$A$2:$A$61,0))&amp;" to "&amp;Scores!D38)))</f>
        <v/>
      </c>
      <c r="D38" s="12" t="str">
        <f aca="false">IF(Scores!$A38="","",IF(ISNA(MATCH(Scores!$A38,Baseline!$A$2:$A$61,0)),"new",IF(Scores!E38=INDEX(Baseline!E$2:E$61,MATCH(Scores!$A38,Baseline!$A$2:$A$61,0)),"",INDEX(Baseline!E$2:E$61,MATCH(Scores!$A38,Baseline!$A$2:$A$61,0))&amp;" to "&amp;Scores!E38)))</f>
        <v/>
      </c>
      <c r="E38" s="12" t="str">
        <f aca="false">IF(Scores!$A38="","",IF(ISNA(MATCH(Scores!$A38,Baseline!$A$2:$A$61,0)),"new",IF(Scores!F38=INDEX(Baseline!F$2:F$61,MATCH(Scores!$A38,Baseline!$A$2:$A$61,0)),"",INDEX(Baseline!F$2:F$61,MATCH(Scores!$A38,Baseline!$A$2:$A$61,0))&amp;" to "&amp;Scores!F38)))</f>
        <v/>
      </c>
      <c r="F38" s="12" t="str">
        <f aca="false">IF(Scores!$A38="","",IF(ISNA(MATCH(Scores!$A38,Baseline!$A$2:$A$61,0)),"new",IF(Scores!G38=INDEX(Baseline!G$2:G$61,MATCH(Scores!$A38,Baseline!$A$2:$A$61,0)),"",INDEX(Baseline!G$2:G$61,MATCH(Scores!$A38,Baseline!$A$2:$A$61,0))&amp;" to "&amp;Scores!G38)))</f>
        <v/>
      </c>
      <c r="G38" s="12" t="str">
        <f aca="false">IF(Scores!$A38="","",IF(ISNA(MATCH(Scores!$A38,Baseline!$A$2:$A$61,0)),"new",IF(Scores!H38=INDEX(Baseline!H$2:H$61,MATCH(Scores!$A38,Baseline!$A$2:$A$61,0)),"",INDEX(Baseline!H$2:H$61,MATCH(Scores!$A38,Baseline!$A$2:$A$61,0))&amp;" to "&amp;Scores!H38)))</f>
        <v/>
      </c>
      <c r="H38" s="12" t="str">
        <f aca="false">IF(Scores!$A38="","",IF(ISNA(MATCH(Scores!$A38,Baseline!$A$2:$A$61,0)),"new",IF(Scores!I38=INDEX(Baseline!I$2:I$61,MATCH(Scores!$A38,Baseline!$A$2:$A$61,0)),"",INDEX(Baseline!I$2:I$61,MATCH(Scores!$A38,Baseline!$A$2:$A$61,0))&amp;" to "&amp;Scores!I38)))</f>
        <v/>
      </c>
      <c r="I38" s="12" t="str">
        <f aca="false">IF(Scores!$A38="","",IF(ISNA(MATCH(Scores!$A38,Baseline!$A$2:$A$61,0)),"new",IF(Scores!J38=INDEX(Baseline!J$2:J$61,MATCH(Scores!$A38,Baseline!$A$2:$A$61,0)),"",INDEX(Baseline!J$2:J$61,MATCH(Scores!$A38,Baseline!$A$2:$A$61,0))&amp;" to "&amp;Scores!J38)))</f>
        <v/>
      </c>
      <c r="J38" s="12" t="str">
        <f aca="false">IF(Scores!$A38="","",IF(ISNA(MATCH(Scores!$A38,Baseline!$A$2:$A$61,0)),"new",IF(Scores!K38=INDEX(Baseline!K$2:K$61,MATCH(Scores!$A38,Baseline!$A$2:$A$61,0)),"",INDEX(Baseline!K$2:K$61,MATCH(Scores!$A38,Baseline!$A$2:$A$61,0))&amp;" to "&amp;Scores!K38)))</f>
        <v/>
      </c>
      <c r="K38" s="12" t="str">
        <f aca="false">IF(Scores!$A38="","",IF(ISNA(MATCH(Scores!$A38,Baseline!$A$2:$A$61,0)),"new",COUNTIF(B38:J38,"* to *")))</f>
        <v/>
      </c>
    </row>
    <row r="39" customFormat="false" ht="15" hidden="false" customHeight="false" outlineLevel="0" collapsed="false">
      <c r="A39" s="12" t="str">
        <f aca="false">IF(Scores!$A39="","",IF(ISNA(MATCH(Scores!$A39,Baseline!$A$2:$A$61,0)),Scores!A39&amp;" (new case)",Scores!A39))</f>
        <v/>
      </c>
      <c r="B39" s="12" t="str">
        <f aca="false">IF(Scores!$A39="","",IF(ISNA(MATCH(Scores!$A39,Baseline!$A$2:$A$61,0)),"new",IF(Scores!C39=INDEX(Baseline!C$2:C$61,MATCH(Scores!$A39,Baseline!$A$2:$A$61,0)),"",INDEX(Baseline!C$2:C$61,MATCH(Scores!$A39,Baseline!$A$2:$A$61,0))&amp;" to "&amp;Scores!C39)))</f>
        <v/>
      </c>
      <c r="C39" s="12" t="str">
        <f aca="false">IF(Scores!$A39="","",IF(ISNA(MATCH(Scores!$A39,Baseline!$A$2:$A$61,0)),"new",IF(Scores!D39=INDEX(Baseline!D$2:D$61,MATCH(Scores!$A39,Baseline!$A$2:$A$61,0)),"",INDEX(Baseline!D$2:D$61,MATCH(Scores!$A39,Baseline!$A$2:$A$61,0))&amp;" to "&amp;Scores!D39)))</f>
        <v/>
      </c>
      <c r="D39" s="12" t="str">
        <f aca="false">IF(Scores!$A39="","",IF(ISNA(MATCH(Scores!$A39,Baseline!$A$2:$A$61,0)),"new",IF(Scores!E39=INDEX(Baseline!E$2:E$61,MATCH(Scores!$A39,Baseline!$A$2:$A$61,0)),"",INDEX(Baseline!E$2:E$61,MATCH(Scores!$A39,Baseline!$A$2:$A$61,0))&amp;" to "&amp;Scores!E39)))</f>
        <v/>
      </c>
      <c r="E39" s="12" t="str">
        <f aca="false">IF(Scores!$A39="","",IF(ISNA(MATCH(Scores!$A39,Baseline!$A$2:$A$61,0)),"new",IF(Scores!F39=INDEX(Baseline!F$2:F$61,MATCH(Scores!$A39,Baseline!$A$2:$A$61,0)),"",INDEX(Baseline!F$2:F$61,MATCH(Scores!$A39,Baseline!$A$2:$A$61,0))&amp;" to "&amp;Scores!F39)))</f>
        <v/>
      </c>
      <c r="F39" s="12" t="str">
        <f aca="false">IF(Scores!$A39="","",IF(ISNA(MATCH(Scores!$A39,Baseline!$A$2:$A$61,0)),"new",IF(Scores!G39=INDEX(Baseline!G$2:G$61,MATCH(Scores!$A39,Baseline!$A$2:$A$61,0)),"",INDEX(Baseline!G$2:G$61,MATCH(Scores!$A39,Baseline!$A$2:$A$61,0))&amp;" to "&amp;Scores!G39)))</f>
        <v/>
      </c>
      <c r="G39" s="12" t="str">
        <f aca="false">IF(Scores!$A39="","",IF(ISNA(MATCH(Scores!$A39,Baseline!$A$2:$A$61,0)),"new",IF(Scores!H39=INDEX(Baseline!H$2:H$61,MATCH(Scores!$A39,Baseline!$A$2:$A$61,0)),"",INDEX(Baseline!H$2:H$61,MATCH(Scores!$A39,Baseline!$A$2:$A$61,0))&amp;" to "&amp;Scores!H39)))</f>
        <v/>
      </c>
      <c r="H39" s="12" t="str">
        <f aca="false">IF(Scores!$A39="","",IF(ISNA(MATCH(Scores!$A39,Baseline!$A$2:$A$61,0)),"new",IF(Scores!I39=INDEX(Baseline!I$2:I$61,MATCH(Scores!$A39,Baseline!$A$2:$A$61,0)),"",INDEX(Baseline!I$2:I$61,MATCH(Scores!$A39,Baseline!$A$2:$A$61,0))&amp;" to "&amp;Scores!I39)))</f>
        <v/>
      </c>
      <c r="I39" s="12" t="str">
        <f aca="false">IF(Scores!$A39="","",IF(ISNA(MATCH(Scores!$A39,Baseline!$A$2:$A$61,0)),"new",IF(Scores!J39=INDEX(Baseline!J$2:J$61,MATCH(Scores!$A39,Baseline!$A$2:$A$61,0)),"",INDEX(Baseline!J$2:J$61,MATCH(Scores!$A39,Baseline!$A$2:$A$61,0))&amp;" to "&amp;Scores!J39)))</f>
        <v/>
      </c>
      <c r="J39" s="12" t="str">
        <f aca="false">IF(Scores!$A39="","",IF(ISNA(MATCH(Scores!$A39,Baseline!$A$2:$A$61,0)),"new",IF(Scores!K39=INDEX(Baseline!K$2:K$61,MATCH(Scores!$A39,Baseline!$A$2:$A$61,0)),"",INDEX(Baseline!K$2:K$61,MATCH(Scores!$A39,Baseline!$A$2:$A$61,0))&amp;" to "&amp;Scores!K39)))</f>
        <v/>
      </c>
      <c r="K39" s="12" t="str">
        <f aca="false">IF(Scores!$A39="","",IF(ISNA(MATCH(Scores!$A39,Baseline!$A$2:$A$61,0)),"new",COUNTIF(B39:J39,"* to *")))</f>
        <v/>
      </c>
    </row>
    <row r="40" customFormat="false" ht="15" hidden="false" customHeight="false" outlineLevel="0" collapsed="false">
      <c r="A40" s="12" t="str">
        <f aca="false">IF(Scores!$A40="","",IF(ISNA(MATCH(Scores!$A40,Baseline!$A$2:$A$61,0)),Scores!A40&amp;" (new case)",Scores!A40))</f>
        <v/>
      </c>
      <c r="B40" s="12" t="str">
        <f aca="false">IF(Scores!$A40="","",IF(ISNA(MATCH(Scores!$A40,Baseline!$A$2:$A$61,0)),"new",IF(Scores!C40=INDEX(Baseline!C$2:C$61,MATCH(Scores!$A40,Baseline!$A$2:$A$61,0)),"",INDEX(Baseline!C$2:C$61,MATCH(Scores!$A40,Baseline!$A$2:$A$61,0))&amp;" to "&amp;Scores!C40)))</f>
        <v/>
      </c>
      <c r="C40" s="12" t="str">
        <f aca="false">IF(Scores!$A40="","",IF(ISNA(MATCH(Scores!$A40,Baseline!$A$2:$A$61,0)),"new",IF(Scores!D40=INDEX(Baseline!D$2:D$61,MATCH(Scores!$A40,Baseline!$A$2:$A$61,0)),"",INDEX(Baseline!D$2:D$61,MATCH(Scores!$A40,Baseline!$A$2:$A$61,0))&amp;" to "&amp;Scores!D40)))</f>
        <v/>
      </c>
      <c r="D40" s="12" t="str">
        <f aca="false">IF(Scores!$A40="","",IF(ISNA(MATCH(Scores!$A40,Baseline!$A$2:$A$61,0)),"new",IF(Scores!E40=INDEX(Baseline!E$2:E$61,MATCH(Scores!$A40,Baseline!$A$2:$A$61,0)),"",INDEX(Baseline!E$2:E$61,MATCH(Scores!$A40,Baseline!$A$2:$A$61,0))&amp;" to "&amp;Scores!E40)))</f>
        <v/>
      </c>
      <c r="E40" s="12" t="str">
        <f aca="false">IF(Scores!$A40="","",IF(ISNA(MATCH(Scores!$A40,Baseline!$A$2:$A$61,0)),"new",IF(Scores!F40=INDEX(Baseline!F$2:F$61,MATCH(Scores!$A40,Baseline!$A$2:$A$61,0)),"",INDEX(Baseline!F$2:F$61,MATCH(Scores!$A40,Baseline!$A$2:$A$61,0))&amp;" to "&amp;Scores!F40)))</f>
        <v/>
      </c>
      <c r="F40" s="12" t="str">
        <f aca="false">IF(Scores!$A40="","",IF(ISNA(MATCH(Scores!$A40,Baseline!$A$2:$A$61,0)),"new",IF(Scores!G40=INDEX(Baseline!G$2:G$61,MATCH(Scores!$A40,Baseline!$A$2:$A$61,0)),"",INDEX(Baseline!G$2:G$61,MATCH(Scores!$A40,Baseline!$A$2:$A$61,0))&amp;" to "&amp;Scores!G40)))</f>
        <v/>
      </c>
      <c r="G40" s="12" t="str">
        <f aca="false">IF(Scores!$A40="","",IF(ISNA(MATCH(Scores!$A40,Baseline!$A$2:$A$61,0)),"new",IF(Scores!H40=INDEX(Baseline!H$2:H$61,MATCH(Scores!$A40,Baseline!$A$2:$A$61,0)),"",INDEX(Baseline!H$2:H$61,MATCH(Scores!$A40,Baseline!$A$2:$A$61,0))&amp;" to "&amp;Scores!H40)))</f>
        <v/>
      </c>
      <c r="H40" s="12" t="str">
        <f aca="false">IF(Scores!$A40="","",IF(ISNA(MATCH(Scores!$A40,Baseline!$A$2:$A$61,0)),"new",IF(Scores!I40=INDEX(Baseline!I$2:I$61,MATCH(Scores!$A40,Baseline!$A$2:$A$61,0)),"",INDEX(Baseline!I$2:I$61,MATCH(Scores!$A40,Baseline!$A$2:$A$61,0))&amp;" to "&amp;Scores!I40)))</f>
        <v/>
      </c>
      <c r="I40" s="12" t="str">
        <f aca="false">IF(Scores!$A40="","",IF(ISNA(MATCH(Scores!$A40,Baseline!$A$2:$A$61,0)),"new",IF(Scores!J40=INDEX(Baseline!J$2:J$61,MATCH(Scores!$A40,Baseline!$A$2:$A$61,0)),"",INDEX(Baseline!J$2:J$61,MATCH(Scores!$A40,Baseline!$A$2:$A$61,0))&amp;" to "&amp;Scores!J40)))</f>
        <v/>
      </c>
      <c r="J40" s="12" t="str">
        <f aca="false">IF(Scores!$A40="","",IF(ISNA(MATCH(Scores!$A40,Baseline!$A$2:$A$61,0)),"new",IF(Scores!K40=INDEX(Baseline!K$2:K$61,MATCH(Scores!$A40,Baseline!$A$2:$A$61,0)),"",INDEX(Baseline!K$2:K$61,MATCH(Scores!$A40,Baseline!$A$2:$A$61,0))&amp;" to "&amp;Scores!K40)))</f>
        <v/>
      </c>
      <c r="K40" s="12" t="str">
        <f aca="false">IF(Scores!$A40="","",IF(ISNA(MATCH(Scores!$A40,Baseline!$A$2:$A$61,0)),"new",COUNTIF(B40:J40,"* to *")))</f>
        <v/>
      </c>
    </row>
    <row r="41" customFormat="false" ht="15" hidden="false" customHeight="false" outlineLevel="0" collapsed="false">
      <c r="A41" s="12" t="str">
        <f aca="false">IF(Scores!$A41="","",IF(ISNA(MATCH(Scores!$A41,Baseline!$A$2:$A$61,0)),Scores!A41&amp;" (new case)",Scores!A41))</f>
        <v/>
      </c>
      <c r="B41" s="12" t="str">
        <f aca="false">IF(Scores!$A41="","",IF(ISNA(MATCH(Scores!$A41,Baseline!$A$2:$A$61,0)),"new",IF(Scores!C41=INDEX(Baseline!C$2:C$61,MATCH(Scores!$A41,Baseline!$A$2:$A$61,0)),"",INDEX(Baseline!C$2:C$61,MATCH(Scores!$A41,Baseline!$A$2:$A$61,0))&amp;" to "&amp;Scores!C41)))</f>
        <v/>
      </c>
      <c r="C41" s="12" t="str">
        <f aca="false">IF(Scores!$A41="","",IF(ISNA(MATCH(Scores!$A41,Baseline!$A$2:$A$61,0)),"new",IF(Scores!D41=INDEX(Baseline!D$2:D$61,MATCH(Scores!$A41,Baseline!$A$2:$A$61,0)),"",INDEX(Baseline!D$2:D$61,MATCH(Scores!$A41,Baseline!$A$2:$A$61,0))&amp;" to "&amp;Scores!D41)))</f>
        <v/>
      </c>
      <c r="D41" s="12" t="str">
        <f aca="false">IF(Scores!$A41="","",IF(ISNA(MATCH(Scores!$A41,Baseline!$A$2:$A$61,0)),"new",IF(Scores!E41=INDEX(Baseline!E$2:E$61,MATCH(Scores!$A41,Baseline!$A$2:$A$61,0)),"",INDEX(Baseline!E$2:E$61,MATCH(Scores!$A41,Baseline!$A$2:$A$61,0))&amp;" to "&amp;Scores!E41)))</f>
        <v/>
      </c>
      <c r="E41" s="12" t="str">
        <f aca="false">IF(Scores!$A41="","",IF(ISNA(MATCH(Scores!$A41,Baseline!$A$2:$A$61,0)),"new",IF(Scores!F41=INDEX(Baseline!F$2:F$61,MATCH(Scores!$A41,Baseline!$A$2:$A$61,0)),"",INDEX(Baseline!F$2:F$61,MATCH(Scores!$A41,Baseline!$A$2:$A$61,0))&amp;" to "&amp;Scores!F41)))</f>
        <v/>
      </c>
      <c r="F41" s="12" t="str">
        <f aca="false">IF(Scores!$A41="","",IF(ISNA(MATCH(Scores!$A41,Baseline!$A$2:$A$61,0)),"new",IF(Scores!G41=INDEX(Baseline!G$2:G$61,MATCH(Scores!$A41,Baseline!$A$2:$A$61,0)),"",INDEX(Baseline!G$2:G$61,MATCH(Scores!$A41,Baseline!$A$2:$A$61,0))&amp;" to "&amp;Scores!G41)))</f>
        <v/>
      </c>
      <c r="G41" s="12" t="str">
        <f aca="false">IF(Scores!$A41="","",IF(ISNA(MATCH(Scores!$A41,Baseline!$A$2:$A$61,0)),"new",IF(Scores!H41=INDEX(Baseline!H$2:H$61,MATCH(Scores!$A41,Baseline!$A$2:$A$61,0)),"",INDEX(Baseline!H$2:H$61,MATCH(Scores!$A41,Baseline!$A$2:$A$61,0))&amp;" to "&amp;Scores!H41)))</f>
        <v/>
      </c>
      <c r="H41" s="12" t="str">
        <f aca="false">IF(Scores!$A41="","",IF(ISNA(MATCH(Scores!$A41,Baseline!$A$2:$A$61,0)),"new",IF(Scores!I41=INDEX(Baseline!I$2:I$61,MATCH(Scores!$A41,Baseline!$A$2:$A$61,0)),"",INDEX(Baseline!I$2:I$61,MATCH(Scores!$A41,Baseline!$A$2:$A$61,0))&amp;" to "&amp;Scores!I41)))</f>
        <v/>
      </c>
      <c r="I41" s="12" t="str">
        <f aca="false">IF(Scores!$A41="","",IF(ISNA(MATCH(Scores!$A41,Baseline!$A$2:$A$61,0)),"new",IF(Scores!J41=INDEX(Baseline!J$2:J$61,MATCH(Scores!$A41,Baseline!$A$2:$A$61,0)),"",INDEX(Baseline!J$2:J$61,MATCH(Scores!$A41,Baseline!$A$2:$A$61,0))&amp;" to "&amp;Scores!J41)))</f>
        <v/>
      </c>
      <c r="J41" s="12" t="str">
        <f aca="false">IF(Scores!$A41="","",IF(ISNA(MATCH(Scores!$A41,Baseline!$A$2:$A$61,0)),"new",IF(Scores!K41=INDEX(Baseline!K$2:K$61,MATCH(Scores!$A41,Baseline!$A$2:$A$61,0)),"",INDEX(Baseline!K$2:K$61,MATCH(Scores!$A41,Baseline!$A$2:$A$61,0))&amp;" to "&amp;Scores!K41)))</f>
        <v/>
      </c>
      <c r="K41" s="12" t="str">
        <f aca="false">IF(Scores!$A41="","",IF(ISNA(MATCH(Scores!$A41,Baseline!$A$2:$A$61,0)),"new",COUNTIF(B41:J41,"* to *")))</f>
        <v/>
      </c>
    </row>
    <row r="42" customFormat="false" ht="15" hidden="false" customHeight="false" outlineLevel="0" collapsed="false">
      <c r="A42" s="12" t="str">
        <f aca="false">IF(Scores!$A42="","",IF(ISNA(MATCH(Scores!$A42,Baseline!$A$2:$A$61,0)),Scores!A42&amp;" (new case)",Scores!A42))</f>
        <v/>
      </c>
      <c r="B42" s="12" t="str">
        <f aca="false">IF(Scores!$A42="","",IF(ISNA(MATCH(Scores!$A42,Baseline!$A$2:$A$61,0)),"new",IF(Scores!C42=INDEX(Baseline!C$2:C$61,MATCH(Scores!$A42,Baseline!$A$2:$A$61,0)),"",INDEX(Baseline!C$2:C$61,MATCH(Scores!$A42,Baseline!$A$2:$A$61,0))&amp;" to "&amp;Scores!C42)))</f>
        <v/>
      </c>
      <c r="C42" s="12" t="str">
        <f aca="false">IF(Scores!$A42="","",IF(ISNA(MATCH(Scores!$A42,Baseline!$A$2:$A$61,0)),"new",IF(Scores!D42=INDEX(Baseline!D$2:D$61,MATCH(Scores!$A42,Baseline!$A$2:$A$61,0)),"",INDEX(Baseline!D$2:D$61,MATCH(Scores!$A42,Baseline!$A$2:$A$61,0))&amp;" to "&amp;Scores!D42)))</f>
        <v/>
      </c>
      <c r="D42" s="12" t="str">
        <f aca="false">IF(Scores!$A42="","",IF(ISNA(MATCH(Scores!$A42,Baseline!$A$2:$A$61,0)),"new",IF(Scores!E42=INDEX(Baseline!E$2:E$61,MATCH(Scores!$A42,Baseline!$A$2:$A$61,0)),"",INDEX(Baseline!E$2:E$61,MATCH(Scores!$A42,Baseline!$A$2:$A$61,0))&amp;" to "&amp;Scores!E42)))</f>
        <v/>
      </c>
      <c r="E42" s="12" t="str">
        <f aca="false">IF(Scores!$A42="","",IF(ISNA(MATCH(Scores!$A42,Baseline!$A$2:$A$61,0)),"new",IF(Scores!F42=INDEX(Baseline!F$2:F$61,MATCH(Scores!$A42,Baseline!$A$2:$A$61,0)),"",INDEX(Baseline!F$2:F$61,MATCH(Scores!$A42,Baseline!$A$2:$A$61,0))&amp;" to "&amp;Scores!F42)))</f>
        <v/>
      </c>
      <c r="F42" s="12" t="str">
        <f aca="false">IF(Scores!$A42="","",IF(ISNA(MATCH(Scores!$A42,Baseline!$A$2:$A$61,0)),"new",IF(Scores!G42=INDEX(Baseline!G$2:G$61,MATCH(Scores!$A42,Baseline!$A$2:$A$61,0)),"",INDEX(Baseline!G$2:G$61,MATCH(Scores!$A42,Baseline!$A$2:$A$61,0))&amp;" to "&amp;Scores!G42)))</f>
        <v/>
      </c>
      <c r="G42" s="12" t="str">
        <f aca="false">IF(Scores!$A42="","",IF(ISNA(MATCH(Scores!$A42,Baseline!$A$2:$A$61,0)),"new",IF(Scores!H42=INDEX(Baseline!H$2:H$61,MATCH(Scores!$A42,Baseline!$A$2:$A$61,0)),"",INDEX(Baseline!H$2:H$61,MATCH(Scores!$A42,Baseline!$A$2:$A$61,0))&amp;" to "&amp;Scores!H42)))</f>
        <v/>
      </c>
      <c r="H42" s="12" t="str">
        <f aca="false">IF(Scores!$A42="","",IF(ISNA(MATCH(Scores!$A42,Baseline!$A$2:$A$61,0)),"new",IF(Scores!I42=INDEX(Baseline!I$2:I$61,MATCH(Scores!$A42,Baseline!$A$2:$A$61,0)),"",INDEX(Baseline!I$2:I$61,MATCH(Scores!$A42,Baseline!$A$2:$A$61,0))&amp;" to "&amp;Scores!I42)))</f>
        <v/>
      </c>
      <c r="I42" s="12" t="str">
        <f aca="false">IF(Scores!$A42="","",IF(ISNA(MATCH(Scores!$A42,Baseline!$A$2:$A$61,0)),"new",IF(Scores!J42=INDEX(Baseline!J$2:J$61,MATCH(Scores!$A42,Baseline!$A$2:$A$61,0)),"",INDEX(Baseline!J$2:J$61,MATCH(Scores!$A42,Baseline!$A$2:$A$61,0))&amp;" to "&amp;Scores!J42)))</f>
        <v/>
      </c>
      <c r="J42" s="12" t="str">
        <f aca="false">IF(Scores!$A42="","",IF(ISNA(MATCH(Scores!$A42,Baseline!$A$2:$A$61,0)),"new",IF(Scores!K42=INDEX(Baseline!K$2:K$61,MATCH(Scores!$A42,Baseline!$A$2:$A$61,0)),"",INDEX(Baseline!K$2:K$61,MATCH(Scores!$A42,Baseline!$A$2:$A$61,0))&amp;" to "&amp;Scores!K42)))</f>
        <v/>
      </c>
      <c r="K42" s="12" t="str">
        <f aca="false">IF(Scores!$A42="","",IF(ISNA(MATCH(Scores!$A42,Baseline!$A$2:$A$61,0)),"new",COUNTIF(B42:J42,"* to *")))</f>
        <v/>
      </c>
    </row>
    <row r="43" customFormat="false" ht="15" hidden="false" customHeight="false" outlineLevel="0" collapsed="false">
      <c r="A43" s="12" t="str">
        <f aca="false">IF(Scores!$A43="","",IF(ISNA(MATCH(Scores!$A43,Baseline!$A$2:$A$61,0)),Scores!A43&amp;" (new case)",Scores!A43))</f>
        <v/>
      </c>
      <c r="B43" s="12" t="str">
        <f aca="false">IF(Scores!$A43="","",IF(ISNA(MATCH(Scores!$A43,Baseline!$A$2:$A$61,0)),"new",IF(Scores!C43=INDEX(Baseline!C$2:C$61,MATCH(Scores!$A43,Baseline!$A$2:$A$61,0)),"",INDEX(Baseline!C$2:C$61,MATCH(Scores!$A43,Baseline!$A$2:$A$61,0))&amp;" to "&amp;Scores!C43)))</f>
        <v/>
      </c>
      <c r="C43" s="12" t="str">
        <f aca="false">IF(Scores!$A43="","",IF(ISNA(MATCH(Scores!$A43,Baseline!$A$2:$A$61,0)),"new",IF(Scores!D43=INDEX(Baseline!D$2:D$61,MATCH(Scores!$A43,Baseline!$A$2:$A$61,0)),"",INDEX(Baseline!D$2:D$61,MATCH(Scores!$A43,Baseline!$A$2:$A$61,0))&amp;" to "&amp;Scores!D43)))</f>
        <v/>
      </c>
      <c r="D43" s="12" t="str">
        <f aca="false">IF(Scores!$A43="","",IF(ISNA(MATCH(Scores!$A43,Baseline!$A$2:$A$61,0)),"new",IF(Scores!E43=INDEX(Baseline!E$2:E$61,MATCH(Scores!$A43,Baseline!$A$2:$A$61,0)),"",INDEX(Baseline!E$2:E$61,MATCH(Scores!$A43,Baseline!$A$2:$A$61,0))&amp;" to "&amp;Scores!E43)))</f>
        <v/>
      </c>
      <c r="E43" s="12" t="str">
        <f aca="false">IF(Scores!$A43="","",IF(ISNA(MATCH(Scores!$A43,Baseline!$A$2:$A$61,0)),"new",IF(Scores!F43=INDEX(Baseline!F$2:F$61,MATCH(Scores!$A43,Baseline!$A$2:$A$61,0)),"",INDEX(Baseline!F$2:F$61,MATCH(Scores!$A43,Baseline!$A$2:$A$61,0))&amp;" to "&amp;Scores!F43)))</f>
        <v/>
      </c>
      <c r="F43" s="12" t="str">
        <f aca="false">IF(Scores!$A43="","",IF(ISNA(MATCH(Scores!$A43,Baseline!$A$2:$A$61,0)),"new",IF(Scores!G43=INDEX(Baseline!G$2:G$61,MATCH(Scores!$A43,Baseline!$A$2:$A$61,0)),"",INDEX(Baseline!G$2:G$61,MATCH(Scores!$A43,Baseline!$A$2:$A$61,0))&amp;" to "&amp;Scores!G43)))</f>
        <v/>
      </c>
      <c r="G43" s="12" t="str">
        <f aca="false">IF(Scores!$A43="","",IF(ISNA(MATCH(Scores!$A43,Baseline!$A$2:$A$61,0)),"new",IF(Scores!H43=INDEX(Baseline!H$2:H$61,MATCH(Scores!$A43,Baseline!$A$2:$A$61,0)),"",INDEX(Baseline!H$2:H$61,MATCH(Scores!$A43,Baseline!$A$2:$A$61,0))&amp;" to "&amp;Scores!H43)))</f>
        <v/>
      </c>
      <c r="H43" s="12" t="str">
        <f aca="false">IF(Scores!$A43="","",IF(ISNA(MATCH(Scores!$A43,Baseline!$A$2:$A$61,0)),"new",IF(Scores!I43=INDEX(Baseline!I$2:I$61,MATCH(Scores!$A43,Baseline!$A$2:$A$61,0)),"",INDEX(Baseline!I$2:I$61,MATCH(Scores!$A43,Baseline!$A$2:$A$61,0))&amp;" to "&amp;Scores!I43)))</f>
        <v/>
      </c>
      <c r="I43" s="12" t="str">
        <f aca="false">IF(Scores!$A43="","",IF(ISNA(MATCH(Scores!$A43,Baseline!$A$2:$A$61,0)),"new",IF(Scores!J43=INDEX(Baseline!J$2:J$61,MATCH(Scores!$A43,Baseline!$A$2:$A$61,0)),"",INDEX(Baseline!J$2:J$61,MATCH(Scores!$A43,Baseline!$A$2:$A$61,0))&amp;" to "&amp;Scores!J43)))</f>
        <v/>
      </c>
      <c r="J43" s="12" t="str">
        <f aca="false">IF(Scores!$A43="","",IF(ISNA(MATCH(Scores!$A43,Baseline!$A$2:$A$61,0)),"new",IF(Scores!K43=INDEX(Baseline!K$2:K$61,MATCH(Scores!$A43,Baseline!$A$2:$A$61,0)),"",INDEX(Baseline!K$2:K$61,MATCH(Scores!$A43,Baseline!$A$2:$A$61,0))&amp;" to "&amp;Scores!K43)))</f>
        <v/>
      </c>
      <c r="K43" s="12" t="str">
        <f aca="false">IF(Scores!$A43="","",IF(ISNA(MATCH(Scores!$A43,Baseline!$A$2:$A$61,0)),"new",COUNTIF(B43:J43,"* to *")))</f>
        <v/>
      </c>
    </row>
    <row r="44" customFormat="false" ht="15" hidden="false" customHeight="false" outlineLevel="0" collapsed="false">
      <c r="A44" s="12" t="str">
        <f aca="false">IF(Scores!$A44="","",IF(ISNA(MATCH(Scores!$A44,Baseline!$A$2:$A$61,0)),Scores!A44&amp;" (new case)",Scores!A44))</f>
        <v/>
      </c>
      <c r="B44" s="12" t="str">
        <f aca="false">IF(Scores!$A44="","",IF(ISNA(MATCH(Scores!$A44,Baseline!$A$2:$A$61,0)),"new",IF(Scores!C44=INDEX(Baseline!C$2:C$61,MATCH(Scores!$A44,Baseline!$A$2:$A$61,0)),"",INDEX(Baseline!C$2:C$61,MATCH(Scores!$A44,Baseline!$A$2:$A$61,0))&amp;" to "&amp;Scores!C44)))</f>
        <v/>
      </c>
      <c r="C44" s="12" t="str">
        <f aca="false">IF(Scores!$A44="","",IF(ISNA(MATCH(Scores!$A44,Baseline!$A$2:$A$61,0)),"new",IF(Scores!D44=INDEX(Baseline!D$2:D$61,MATCH(Scores!$A44,Baseline!$A$2:$A$61,0)),"",INDEX(Baseline!D$2:D$61,MATCH(Scores!$A44,Baseline!$A$2:$A$61,0))&amp;" to "&amp;Scores!D44)))</f>
        <v/>
      </c>
      <c r="D44" s="12" t="str">
        <f aca="false">IF(Scores!$A44="","",IF(ISNA(MATCH(Scores!$A44,Baseline!$A$2:$A$61,0)),"new",IF(Scores!E44=INDEX(Baseline!E$2:E$61,MATCH(Scores!$A44,Baseline!$A$2:$A$61,0)),"",INDEX(Baseline!E$2:E$61,MATCH(Scores!$A44,Baseline!$A$2:$A$61,0))&amp;" to "&amp;Scores!E44)))</f>
        <v/>
      </c>
      <c r="E44" s="12" t="str">
        <f aca="false">IF(Scores!$A44="","",IF(ISNA(MATCH(Scores!$A44,Baseline!$A$2:$A$61,0)),"new",IF(Scores!F44=INDEX(Baseline!F$2:F$61,MATCH(Scores!$A44,Baseline!$A$2:$A$61,0)),"",INDEX(Baseline!F$2:F$61,MATCH(Scores!$A44,Baseline!$A$2:$A$61,0))&amp;" to "&amp;Scores!F44)))</f>
        <v/>
      </c>
      <c r="F44" s="12" t="str">
        <f aca="false">IF(Scores!$A44="","",IF(ISNA(MATCH(Scores!$A44,Baseline!$A$2:$A$61,0)),"new",IF(Scores!G44=INDEX(Baseline!G$2:G$61,MATCH(Scores!$A44,Baseline!$A$2:$A$61,0)),"",INDEX(Baseline!G$2:G$61,MATCH(Scores!$A44,Baseline!$A$2:$A$61,0))&amp;" to "&amp;Scores!G44)))</f>
        <v/>
      </c>
      <c r="G44" s="12" t="str">
        <f aca="false">IF(Scores!$A44="","",IF(ISNA(MATCH(Scores!$A44,Baseline!$A$2:$A$61,0)),"new",IF(Scores!H44=INDEX(Baseline!H$2:H$61,MATCH(Scores!$A44,Baseline!$A$2:$A$61,0)),"",INDEX(Baseline!H$2:H$61,MATCH(Scores!$A44,Baseline!$A$2:$A$61,0))&amp;" to "&amp;Scores!H44)))</f>
        <v/>
      </c>
      <c r="H44" s="12" t="str">
        <f aca="false">IF(Scores!$A44="","",IF(ISNA(MATCH(Scores!$A44,Baseline!$A$2:$A$61,0)),"new",IF(Scores!I44=INDEX(Baseline!I$2:I$61,MATCH(Scores!$A44,Baseline!$A$2:$A$61,0)),"",INDEX(Baseline!I$2:I$61,MATCH(Scores!$A44,Baseline!$A$2:$A$61,0))&amp;" to "&amp;Scores!I44)))</f>
        <v/>
      </c>
      <c r="I44" s="12" t="str">
        <f aca="false">IF(Scores!$A44="","",IF(ISNA(MATCH(Scores!$A44,Baseline!$A$2:$A$61,0)),"new",IF(Scores!J44=INDEX(Baseline!J$2:J$61,MATCH(Scores!$A44,Baseline!$A$2:$A$61,0)),"",INDEX(Baseline!J$2:J$61,MATCH(Scores!$A44,Baseline!$A$2:$A$61,0))&amp;" to "&amp;Scores!J44)))</f>
        <v/>
      </c>
      <c r="J44" s="12" t="str">
        <f aca="false">IF(Scores!$A44="","",IF(ISNA(MATCH(Scores!$A44,Baseline!$A$2:$A$61,0)),"new",IF(Scores!K44=INDEX(Baseline!K$2:K$61,MATCH(Scores!$A44,Baseline!$A$2:$A$61,0)),"",INDEX(Baseline!K$2:K$61,MATCH(Scores!$A44,Baseline!$A$2:$A$61,0))&amp;" to "&amp;Scores!K44)))</f>
        <v/>
      </c>
      <c r="K44" s="12" t="str">
        <f aca="false">IF(Scores!$A44="","",IF(ISNA(MATCH(Scores!$A44,Baseline!$A$2:$A$61,0)),"new",COUNTIF(B44:J44,"* to *")))</f>
        <v/>
      </c>
    </row>
    <row r="45" customFormat="false" ht="15" hidden="false" customHeight="false" outlineLevel="0" collapsed="false">
      <c r="A45" s="12" t="str">
        <f aca="false">IF(Scores!$A45="","",IF(ISNA(MATCH(Scores!$A45,Baseline!$A$2:$A$61,0)),Scores!A45&amp;" (new case)",Scores!A45))</f>
        <v/>
      </c>
      <c r="B45" s="12" t="str">
        <f aca="false">IF(Scores!$A45="","",IF(ISNA(MATCH(Scores!$A45,Baseline!$A$2:$A$61,0)),"new",IF(Scores!C45=INDEX(Baseline!C$2:C$61,MATCH(Scores!$A45,Baseline!$A$2:$A$61,0)),"",INDEX(Baseline!C$2:C$61,MATCH(Scores!$A45,Baseline!$A$2:$A$61,0))&amp;" to "&amp;Scores!C45)))</f>
        <v/>
      </c>
      <c r="C45" s="12" t="str">
        <f aca="false">IF(Scores!$A45="","",IF(ISNA(MATCH(Scores!$A45,Baseline!$A$2:$A$61,0)),"new",IF(Scores!D45=INDEX(Baseline!D$2:D$61,MATCH(Scores!$A45,Baseline!$A$2:$A$61,0)),"",INDEX(Baseline!D$2:D$61,MATCH(Scores!$A45,Baseline!$A$2:$A$61,0))&amp;" to "&amp;Scores!D45)))</f>
        <v/>
      </c>
      <c r="D45" s="12" t="str">
        <f aca="false">IF(Scores!$A45="","",IF(ISNA(MATCH(Scores!$A45,Baseline!$A$2:$A$61,0)),"new",IF(Scores!E45=INDEX(Baseline!E$2:E$61,MATCH(Scores!$A45,Baseline!$A$2:$A$61,0)),"",INDEX(Baseline!E$2:E$61,MATCH(Scores!$A45,Baseline!$A$2:$A$61,0))&amp;" to "&amp;Scores!E45)))</f>
        <v/>
      </c>
      <c r="E45" s="12" t="str">
        <f aca="false">IF(Scores!$A45="","",IF(ISNA(MATCH(Scores!$A45,Baseline!$A$2:$A$61,0)),"new",IF(Scores!F45=INDEX(Baseline!F$2:F$61,MATCH(Scores!$A45,Baseline!$A$2:$A$61,0)),"",INDEX(Baseline!F$2:F$61,MATCH(Scores!$A45,Baseline!$A$2:$A$61,0))&amp;" to "&amp;Scores!F45)))</f>
        <v/>
      </c>
      <c r="F45" s="12" t="str">
        <f aca="false">IF(Scores!$A45="","",IF(ISNA(MATCH(Scores!$A45,Baseline!$A$2:$A$61,0)),"new",IF(Scores!G45=INDEX(Baseline!G$2:G$61,MATCH(Scores!$A45,Baseline!$A$2:$A$61,0)),"",INDEX(Baseline!G$2:G$61,MATCH(Scores!$A45,Baseline!$A$2:$A$61,0))&amp;" to "&amp;Scores!G45)))</f>
        <v/>
      </c>
      <c r="G45" s="12" t="str">
        <f aca="false">IF(Scores!$A45="","",IF(ISNA(MATCH(Scores!$A45,Baseline!$A$2:$A$61,0)),"new",IF(Scores!H45=INDEX(Baseline!H$2:H$61,MATCH(Scores!$A45,Baseline!$A$2:$A$61,0)),"",INDEX(Baseline!H$2:H$61,MATCH(Scores!$A45,Baseline!$A$2:$A$61,0))&amp;" to "&amp;Scores!H45)))</f>
        <v/>
      </c>
      <c r="H45" s="12" t="str">
        <f aca="false">IF(Scores!$A45="","",IF(ISNA(MATCH(Scores!$A45,Baseline!$A$2:$A$61,0)),"new",IF(Scores!I45=INDEX(Baseline!I$2:I$61,MATCH(Scores!$A45,Baseline!$A$2:$A$61,0)),"",INDEX(Baseline!I$2:I$61,MATCH(Scores!$A45,Baseline!$A$2:$A$61,0))&amp;" to "&amp;Scores!I45)))</f>
        <v/>
      </c>
      <c r="I45" s="12" t="str">
        <f aca="false">IF(Scores!$A45="","",IF(ISNA(MATCH(Scores!$A45,Baseline!$A$2:$A$61,0)),"new",IF(Scores!J45=INDEX(Baseline!J$2:J$61,MATCH(Scores!$A45,Baseline!$A$2:$A$61,0)),"",INDEX(Baseline!J$2:J$61,MATCH(Scores!$A45,Baseline!$A$2:$A$61,0))&amp;" to "&amp;Scores!J45)))</f>
        <v/>
      </c>
      <c r="J45" s="12" t="str">
        <f aca="false">IF(Scores!$A45="","",IF(ISNA(MATCH(Scores!$A45,Baseline!$A$2:$A$61,0)),"new",IF(Scores!K45=INDEX(Baseline!K$2:K$61,MATCH(Scores!$A45,Baseline!$A$2:$A$61,0)),"",INDEX(Baseline!K$2:K$61,MATCH(Scores!$A45,Baseline!$A$2:$A$61,0))&amp;" to "&amp;Scores!K45)))</f>
        <v/>
      </c>
      <c r="K45" s="12" t="str">
        <f aca="false">IF(Scores!$A45="","",IF(ISNA(MATCH(Scores!$A45,Baseline!$A$2:$A$61,0)),"new",COUNTIF(B45:J45,"* to *")))</f>
        <v/>
      </c>
    </row>
    <row r="46" customFormat="false" ht="15" hidden="false" customHeight="false" outlineLevel="0" collapsed="false">
      <c r="A46" s="12" t="str">
        <f aca="false">IF(Scores!$A46="","",IF(ISNA(MATCH(Scores!$A46,Baseline!$A$2:$A$61,0)),Scores!A46&amp;" (new case)",Scores!A46))</f>
        <v/>
      </c>
      <c r="B46" s="12" t="str">
        <f aca="false">IF(Scores!$A46="","",IF(ISNA(MATCH(Scores!$A46,Baseline!$A$2:$A$61,0)),"new",IF(Scores!C46=INDEX(Baseline!C$2:C$61,MATCH(Scores!$A46,Baseline!$A$2:$A$61,0)),"",INDEX(Baseline!C$2:C$61,MATCH(Scores!$A46,Baseline!$A$2:$A$61,0))&amp;" to "&amp;Scores!C46)))</f>
        <v/>
      </c>
      <c r="C46" s="12" t="str">
        <f aca="false">IF(Scores!$A46="","",IF(ISNA(MATCH(Scores!$A46,Baseline!$A$2:$A$61,0)),"new",IF(Scores!D46=INDEX(Baseline!D$2:D$61,MATCH(Scores!$A46,Baseline!$A$2:$A$61,0)),"",INDEX(Baseline!D$2:D$61,MATCH(Scores!$A46,Baseline!$A$2:$A$61,0))&amp;" to "&amp;Scores!D46)))</f>
        <v/>
      </c>
      <c r="D46" s="12" t="str">
        <f aca="false">IF(Scores!$A46="","",IF(ISNA(MATCH(Scores!$A46,Baseline!$A$2:$A$61,0)),"new",IF(Scores!E46=INDEX(Baseline!E$2:E$61,MATCH(Scores!$A46,Baseline!$A$2:$A$61,0)),"",INDEX(Baseline!E$2:E$61,MATCH(Scores!$A46,Baseline!$A$2:$A$61,0))&amp;" to "&amp;Scores!E46)))</f>
        <v/>
      </c>
      <c r="E46" s="12" t="str">
        <f aca="false">IF(Scores!$A46="","",IF(ISNA(MATCH(Scores!$A46,Baseline!$A$2:$A$61,0)),"new",IF(Scores!F46=INDEX(Baseline!F$2:F$61,MATCH(Scores!$A46,Baseline!$A$2:$A$61,0)),"",INDEX(Baseline!F$2:F$61,MATCH(Scores!$A46,Baseline!$A$2:$A$61,0))&amp;" to "&amp;Scores!F46)))</f>
        <v/>
      </c>
      <c r="F46" s="12" t="str">
        <f aca="false">IF(Scores!$A46="","",IF(ISNA(MATCH(Scores!$A46,Baseline!$A$2:$A$61,0)),"new",IF(Scores!G46=INDEX(Baseline!G$2:G$61,MATCH(Scores!$A46,Baseline!$A$2:$A$61,0)),"",INDEX(Baseline!G$2:G$61,MATCH(Scores!$A46,Baseline!$A$2:$A$61,0))&amp;" to "&amp;Scores!G46)))</f>
        <v/>
      </c>
      <c r="G46" s="12" t="str">
        <f aca="false">IF(Scores!$A46="","",IF(ISNA(MATCH(Scores!$A46,Baseline!$A$2:$A$61,0)),"new",IF(Scores!H46=INDEX(Baseline!H$2:H$61,MATCH(Scores!$A46,Baseline!$A$2:$A$61,0)),"",INDEX(Baseline!H$2:H$61,MATCH(Scores!$A46,Baseline!$A$2:$A$61,0))&amp;" to "&amp;Scores!H46)))</f>
        <v/>
      </c>
      <c r="H46" s="12" t="str">
        <f aca="false">IF(Scores!$A46="","",IF(ISNA(MATCH(Scores!$A46,Baseline!$A$2:$A$61,0)),"new",IF(Scores!I46=INDEX(Baseline!I$2:I$61,MATCH(Scores!$A46,Baseline!$A$2:$A$61,0)),"",INDEX(Baseline!I$2:I$61,MATCH(Scores!$A46,Baseline!$A$2:$A$61,0))&amp;" to "&amp;Scores!I46)))</f>
        <v/>
      </c>
      <c r="I46" s="12" t="str">
        <f aca="false">IF(Scores!$A46="","",IF(ISNA(MATCH(Scores!$A46,Baseline!$A$2:$A$61,0)),"new",IF(Scores!J46=INDEX(Baseline!J$2:J$61,MATCH(Scores!$A46,Baseline!$A$2:$A$61,0)),"",INDEX(Baseline!J$2:J$61,MATCH(Scores!$A46,Baseline!$A$2:$A$61,0))&amp;" to "&amp;Scores!J46)))</f>
        <v/>
      </c>
      <c r="J46" s="12" t="str">
        <f aca="false">IF(Scores!$A46="","",IF(ISNA(MATCH(Scores!$A46,Baseline!$A$2:$A$61,0)),"new",IF(Scores!K46=INDEX(Baseline!K$2:K$61,MATCH(Scores!$A46,Baseline!$A$2:$A$61,0)),"",INDEX(Baseline!K$2:K$61,MATCH(Scores!$A46,Baseline!$A$2:$A$61,0))&amp;" to "&amp;Scores!K46)))</f>
        <v/>
      </c>
      <c r="K46" s="12" t="str">
        <f aca="false">IF(Scores!$A46="","",IF(ISNA(MATCH(Scores!$A46,Baseline!$A$2:$A$61,0)),"new",COUNTIF(B46:J46,"* to *")))</f>
        <v/>
      </c>
    </row>
    <row r="47" customFormat="false" ht="15" hidden="false" customHeight="false" outlineLevel="0" collapsed="false">
      <c r="A47" s="12" t="str">
        <f aca="false">IF(Scores!$A47="","",IF(ISNA(MATCH(Scores!$A47,Baseline!$A$2:$A$61,0)),Scores!A47&amp;" (new case)",Scores!A47))</f>
        <v/>
      </c>
      <c r="B47" s="12" t="str">
        <f aca="false">IF(Scores!$A47="","",IF(ISNA(MATCH(Scores!$A47,Baseline!$A$2:$A$61,0)),"new",IF(Scores!C47=INDEX(Baseline!C$2:C$61,MATCH(Scores!$A47,Baseline!$A$2:$A$61,0)),"",INDEX(Baseline!C$2:C$61,MATCH(Scores!$A47,Baseline!$A$2:$A$61,0))&amp;" to "&amp;Scores!C47)))</f>
        <v/>
      </c>
      <c r="C47" s="12" t="str">
        <f aca="false">IF(Scores!$A47="","",IF(ISNA(MATCH(Scores!$A47,Baseline!$A$2:$A$61,0)),"new",IF(Scores!D47=INDEX(Baseline!D$2:D$61,MATCH(Scores!$A47,Baseline!$A$2:$A$61,0)),"",INDEX(Baseline!D$2:D$61,MATCH(Scores!$A47,Baseline!$A$2:$A$61,0))&amp;" to "&amp;Scores!D47)))</f>
        <v/>
      </c>
      <c r="D47" s="12" t="str">
        <f aca="false">IF(Scores!$A47="","",IF(ISNA(MATCH(Scores!$A47,Baseline!$A$2:$A$61,0)),"new",IF(Scores!E47=INDEX(Baseline!E$2:E$61,MATCH(Scores!$A47,Baseline!$A$2:$A$61,0)),"",INDEX(Baseline!E$2:E$61,MATCH(Scores!$A47,Baseline!$A$2:$A$61,0))&amp;" to "&amp;Scores!E47)))</f>
        <v/>
      </c>
      <c r="E47" s="12" t="str">
        <f aca="false">IF(Scores!$A47="","",IF(ISNA(MATCH(Scores!$A47,Baseline!$A$2:$A$61,0)),"new",IF(Scores!F47=INDEX(Baseline!F$2:F$61,MATCH(Scores!$A47,Baseline!$A$2:$A$61,0)),"",INDEX(Baseline!F$2:F$61,MATCH(Scores!$A47,Baseline!$A$2:$A$61,0))&amp;" to "&amp;Scores!F47)))</f>
        <v/>
      </c>
      <c r="F47" s="12" t="str">
        <f aca="false">IF(Scores!$A47="","",IF(ISNA(MATCH(Scores!$A47,Baseline!$A$2:$A$61,0)),"new",IF(Scores!G47=INDEX(Baseline!G$2:G$61,MATCH(Scores!$A47,Baseline!$A$2:$A$61,0)),"",INDEX(Baseline!G$2:G$61,MATCH(Scores!$A47,Baseline!$A$2:$A$61,0))&amp;" to "&amp;Scores!G47)))</f>
        <v/>
      </c>
      <c r="G47" s="12" t="str">
        <f aca="false">IF(Scores!$A47="","",IF(ISNA(MATCH(Scores!$A47,Baseline!$A$2:$A$61,0)),"new",IF(Scores!H47=INDEX(Baseline!H$2:H$61,MATCH(Scores!$A47,Baseline!$A$2:$A$61,0)),"",INDEX(Baseline!H$2:H$61,MATCH(Scores!$A47,Baseline!$A$2:$A$61,0))&amp;" to "&amp;Scores!H47)))</f>
        <v/>
      </c>
      <c r="H47" s="12" t="str">
        <f aca="false">IF(Scores!$A47="","",IF(ISNA(MATCH(Scores!$A47,Baseline!$A$2:$A$61,0)),"new",IF(Scores!I47=INDEX(Baseline!I$2:I$61,MATCH(Scores!$A47,Baseline!$A$2:$A$61,0)),"",INDEX(Baseline!I$2:I$61,MATCH(Scores!$A47,Baseline!$A$2:$A$61,0))&amp;" to "&amp;Scores!I47)))</f>
        <v/>
      </c>
      <c r="I47" s="12" t="str">
        <f aca="false">IF(Scores!$A47="","",IF(ISNA(MATCH(Scores!$A47,Baseline!$A$2:$A$61,0)),"new",IF(Scores!J47=INDEX(Baseline!J$2:J$61,MATCH(Scores!$A47,Baseline!$A$2:$A$61,0)),"",INDEX(Baseline!J$2:J$61,MATCH(Scores!$A47,Baseline!$A$2:$A$61,0))&amp;" to "&amp;Scores!J47)))</f>
        <v/>
      </c>
      <c r="J47" s="12" t="str">
        <f aca="false">IF(Scores!$A47="","",IF(ISNA(MATCH(Scores!$A47,Baseline!$A$2:$A$61,0)),"new",IF(Scores!K47=INDEX(Baseline!K$2:K$61,MATCH(Scores!$A47,Baseline!$A$2:$A$61,0)),"",INDEX(Baseline!K$2:K$61,MATCH(Scores!$A47,Baseline!$A$2:$A$61,0))&amp;" to "&amp;Scores!K47)))</f>
        <v/>
      </c>
      <c r="K47" s="12" t="str">
        <f aca="false">IF(Scores!$A47="","",IF(ISNA(MATCH(Scores!$A47,Baseline!$A$2:$A$61,0)),"new",COUNTIF(B47:J47,"* to *")))</f>
        <v/>
      </c>
    </row>
    <row r="48" customFormat="false" ht="15" hidden="false" customHeight="false" outlineLevel="0" collapsed="false">
      <c r="A48" s="12" t="str">
        <f aca="false">IF(Scores!$A48="","",IF(ISNA(MATCH(Scores!$A48,Baseline!$A$2:$A$61,0)),Scores!A48&amp;" (new case)",Scores!A48))</f>
        <v/>
      </c>
      <c r="B48" s="12" t="str">
        <f aca="false">IF(Scores!$A48="","",IF(ISNA(MATCH(Scores!$A48,Baseline!$A$2:$A$61,0)),"new",IF(Scores!C48=INDEX(Baseline!C$2:C$61,MATCH(Scores!$A48,Baseline!$A$2:$A$61,0)),"",INDEX(Baseline!C$2:C$61,MATCH(Scores!$A48,Baseline!$A$2:$A$61,0))&amp;" to "&amp;Scores!C48)))</f>
        <v/>
      </c>
      <c r="C48" s="12" t="str">
        <f aca="false">IF(Scores!$A48="","",IF(ISNA(MATCH(Scores!$A48,Baseline!$A$2:$A$61,0)),"new",IF(Scores!D48=INDEX(Baseline!D$2:D$61,MATCH(Scores!$A48,Baseline!$A$2:$A$61,0)),"",INDEX(Baseline!D$2:D$61,MATCH(Scores!$A48,Baseline!$A$2:$A$61,0))&amp;" to "&amp;Scores!D48)))</f>
        <v/>
      </c>
      <c r="D48" s="12" t="str">
        <f aca="false">IF(Scores!$A48="","",IF(ISNA(MATCH(Scores!$A48,Baseline!$A$2:$A$61,0)),"new",IF(Scores!E48=INDEX(Baseline!E$2:E$61,MATCH(Scores!$A48,Baseline!$A$2:$A$61,0)),"",INDEX(Baseline!E$2:E$61,MATCH(Scores!$A48,Baseline!$A$2:$A$61,0))&amp;" to "&amp;Scores!E48)))</f>
        <v/>
      </c>
      <c r="E48" s="12" t="str">
        <f aca="false">IF(Scores!$A48="","",IF(ISNA(MATCH(Scores!$A48,Baseline!$A$2:$A$61,0)),"new",IF(Scores!F48=INDEX(Baseline!F$2:F$61,MATCH(Scores!$A48,Baseline!$A$2:$A$61,0)),"",INDEX(Baseline!F$2:F$61,MATCH(Scores!$A48,Baseline!$A$2:$A$61,0))&amp;" to "&amp;Scores!F48)))</f>
        <v/>
      </c>
      <c r="F48" s="12" t="str">
        <f aca="false">IF(Scores!$A48="","",IF(ISNA(MATCH(Scores!$A48,Baseline!$A$2:$A$61,0)),"new",IF(Scores!G48=INDEX(Baseline!G$2:G$61,MATCH(Scores!$A48,Baseline!$A$2:$A$61,0)),"",INDEX(Baseline!G$2:G$61,MATCH(Scores!$A48,Baseline!$A$2:$A$61,0))&amp;" to "&amp;Scores!G48)))</f>
        <v/>
      </c>
      <c r="G48" s="12" t="str">
        <f aca="false">IF(Scores!$A48="","",IF(ISNA(MATCH(Scores!$A48,Baseline!$A$2:$A$61,0)),"new",IF(Scores!H48=INDEX(Baseline!H$2:H$61,MATCH(Scores!$A48,Baseline!$A$2:$A$61,0)),"",INDEX(Baseline!H$2:H$61,MATCH(Scores!$A48,Baseline!$A$2:$A$61,0))&amp;" to "&amp;Scores!H48)))</f>
        <v/>
      </c>
      <c r="H48" s="12" t="str">
        <f aca="false">IF(Scores!$A48="","",IF(ISNA(MATCH(Scores!$A48,Baseline!$A$2:$A$61,0)),"new",IF(Scores!I48=INDEX(Baseline!I$2:I$61,MATCH(Scores!$A48,Baseline!$A$2:$A$61,0)),"",INDEX(Baseline!I$2:I$61,MATCH(Scores!$A48,Baseline!$A$2:$A$61,0))&amp;" to "&amp;Scores!I48)))</f>
        <v/>
      </c>
      <c r="I48" s="12" t="str">
        <f aca="false">IF(Scores!$A48="","",IF(ISNA(MATCH(Scores!$A48,Baseline!$A$2:$A$61,0)),"new",IF(Scores!J48=INDEX(Baseline!J$2:J$61,MATCH(Scores!$A48,Baseline!$A$2:$A$61,0)),"",INDEX(Baseline!J$2:J$61,MATCH(Scores!$A48,Baseline!$A$2:$A$61,0))&amp;" to "&amp;Scores!J48)))</f>
        <v/>
      </c>
      <c r="J48" s="12" t="str">
        <f aca="false">IF(Scores!$A48="","",IF(ISNA(MATCH(Scores!$A48,Baseline!$A$2:$A$61,0)),"new",IF(Scores!K48=INDEX(Baseline!K$2:K$61,MATCH(Scores!$A48,Baseline!$A$2:$A$61,0)),"",INDEX(Baseline!K$2:K$61,MATCH(Scores!$A48,Baseline!$A$2:$A$61,0))&amp;" to "&amp;Scores!K48)))</f>
        <v/>
      </c>
      <c r="K48" s="12" t="str">
        <f aca="false">IF(Scores!$A48="","",IF(ISNA(MATCH(Scores!$A48,Baseline!$A$2:$A$61,0)),"new",COUNTIF(B48:J48,"* to *")))</f>
        <v/>
      </c>
    </row>
    <row r="49" customFormat="false" ht="15" hidden="false" customHeight="false" outlineLevel="0" collapsed="false">
      <c r="A49" s="12" t="str">
        <f aca="false">IF(Scores!$A49="","",IF(ISNA(MATCH(Scores!$A49,Baseline!$A$2:$A$61,0)),Scores!A49&amp;" (new case)",Scores!A49))</f>
        <v/>
      </c>
      <c r="B49" s="12" t="str">
        <f aca="false">IF(Scores!$A49="","",IF(ISNA(MATCH(Scores!$A49,Baseline!$A$2:$A$61,0)),"new",IF(Scores!C49=INDEX(Baseline!C$2:C$61,MATCH(Scores!$A49,Baseline!$A$2:$A$61,0)),"",INDEX(Baseline!C$2:C$61,MATCH(Scores!$A49,Baseline!$A$2:$A$61,0))&amp;" to "&amp;Scores!C49)))</f>
        <v/>
      </c>
      <c r="C49" s="12" t="str">
        <f aca="false">IF(Scores!$A49="","",IF(ISNA(MATCH(Scores!$A49,Baseline!$A$2:$A$61,0)),"new",IF(Scores!D49=INDEX(Baseline!D$2:D$61,MATCH(Scores!$A49,Baseline!$A$2:$A$61,0)),"",INDEX(Baseline!D$2:D$61,MATCH(Scores!$A49,Baseline!$A$2:$A$61,0))&amp;" to "&amp;Scores!D49)))</f>
        <v/>
      </c>
      <c r="D49" s="12" t="str">
        <f aca="false">IF(Scores!$A49="","",IF(ISNA(MATCH(Scores!$A49,Baseline!$A$2:$A$61,0)),"new",IF(Scores!E49=INDEX(Baseline!E$2:E$61,MATCH(Scores!$A49,Baseline!$A$2:$A$61,0)),"",INDEX(Baseline!E$2:E$61,MATCH(Scores!$A49,Baseline!$A$2:$A$61,0))&amp;" to "&amp;Scores!E49)))</f>
        <v/>
      </c>
      <c r="E49" s="12" t="str">
        <f aca="false">IF(Scores!$A49="","",IF(ISNA(MATCH(Scores!$A49,Baseline!$A$2:$A$61,0)),"new",IF(Scores!F49=INDEX(Baseline!F$2:F$61,MATCH(Scores!$A49,Baseline!$A$2:$A$61,0)),"",INDEX(Baseline!F$2:F$61,MATCH(Scores!$A49,Baseline!$A$2:$A$61,0))&amp;" to "&amp;Scores!F49)))</f>
        <v/>
      </c>
      <c r="F49" s="12" t="str">
        <f aca="false">IF(Scores!$A49="","",IF(ISNA(MATCH(Scores!$A49,Baseline!$A$2:$A$61,0)),"new",IF(Scores!G49=INDEX(Baseline!G$2:G$61,MATCH(Scores!$A49,Baseline!$A$2:$A$61,0)),"",INDEX(Baseline!G$2:G$61,MATCH(Scores!$A49,Baseline!$A$2:$A$61,0))&amp;" to "&amp;Scores!G49)))</f>
        <v/>
      </c>
      <c r="G49" s="12" t="str">
        <f aca="false">IF(Scores!$A49="","",IF(ISNA(MATCH(Scores!$A49,Baseline!$A$2:$A$61,0)),"new",IF(Scores!H49=INDEX(Baseline!H$2:H$61,MATCH(Scores!$A49,Baseline!$A$2:$A$61,0)),"",INDEX(Baseline!H$2:H$61,MATCH(Scores!$A49,Baseline!$A$2:$A$61,0))&amp;" to "&amp;Scores!H49)))</f>
        <v/>
      </c>
      <c r="H49" s="12" t="str">
        <f aca="false">IF(Scores!$A49="","",IF(ISNA(MATCH(Scores!$A49,Baseline!$A$2:$A$61,0)),"new",IF(Scores!I49=INDEX(Baseline!I$2:I$61,MATCH(Scores!$A49,Baseline!$A$2:$A$61,0)),"",INDEX(Baseline!I$2:I$61,MATCH(Scores!$A49,Baseline!$A$2:$A$61,0))&amp;" to "&amp;Scores!I49)))</f>
        <v/>
      </c>
      <c r="I49" s="12" t="str">
        <f aca="false">IF(Scores!$A49="","",IF(ISNA(MATCH(Scores!$A49,Baseline!$A$2:$A$61,0)),"new",IF(Scores!J49=INDEX(Baseline!J$2:J$61,MATCH(Scores!$A49,Baseline!$A$2:$A$61,0)),"",INDEX(Baseline!J$2:J$61,MATCH(Scores!$A49,Baseline!$A$2:$A$61,0))&amp;" to "&amp;Scores!J49)))</f>
        <v/>
      </c>
      <c r="J49" s="12" t="str">
        <f aca="false">IF(Scores!$A49="","",IF(ISNA(MATCH(Scores!$A49,Baseline!$A$2:$A$61,0)),"new",IF(Scores!K49=INDEX(Baseline!K$2:K$61,MATCH(Scores!$A49,Baseline!$A$2:$A$61,0)),"",INDEX(Baseline!K$2:K$61,MATCH(Scores!$A49,Baseline!$A$2:$A$61,0))&amp;" to "&amp;Scores!K49)))</f>
        <v/>
      </c>
      <c r="K49" s="12" t="str">
        <f aca="false">IF(Scores!$A49="","",IF(ISNA(MATCH(Scores!$A49,Baseline!$A$2:$A$61,0)),"new",COUNTIF(B49:J49,"* to *")))</f>
        <v/>
      </c>
    </row>
    <row r="50" customFormat="false" ht="15" hidden="false" customHeight="false" outlineLevel="0" collapsed="false">
      <c r="A50" s="12" t="str">
        <f aca="false">IF(Scores!$A50="","",IF(ISNA(MATCH(Scores!$A50,Baseline!$A$2:$A$61,0)),Scores!A50&amp;" (new case)",Scores!A50))</f>
        <v/>
      </c>
      <c r="B50" s="12" t="str">
        <f aca="false">IF(Scores!$A50="","",IF(ISNA(MATCH(Scores!$A50,Baseline!$A$2:$A$61,0)),"new",IF(Scores!C50=INDEX(Baseline!C$2:C$61,MATCH(Scores!$A50,Baseline!$A$2:$A$61,0)),"",INDEX(Baseline!C$2:C$61,MATCH(Scores!$A50,Baseline!$A$2:$A$61,0))&amp;" to "&amp;Scores!C50)))</f>
        <v/>
      </c>
      <c r="C50" s="12" t="str">
        <f aca="false">IF(Scores!$A50="","",IF(ISNA(MATCH(Scores!$A50,Baseline!$A$2:$A$61,0)),"new",IF(Scores!D50=INDEX(Baseline!D$2:D$61,MATCH(Scores!$A50,Baseline!$A$2:$A$61,0)),"",INDEX(Baseline!D$2:D$61,MATCH(Scores!$A50,Baseline!$A$2:$A$61,0))&amp;" to "&amp;Scores!D50)))</f>
        <v/>
      </c>
      <c r="D50" s="12" t="str">
        <f aca="false">IF(Scores!$A50="","",IF(ISNA(MATCH(Scores!$A50,Baseline!$A$2:$A$61,0)),"new",IF(Scores!E50=INDEX(Baseline!E$2:E$61,MATCH(Scores!$A50,Baseline!$A$2:$A$61,0)),"",INDEX(Baseline!E$2:E$61,MATCH(Scores!$A50,Baseline!$A$2:$A$61,0))&amp;" to "&amp;Scores!E50)))</f>
        <v/>
      </c>
      <c r="E50" s="12" t="str">
        <f aca="false">IF(Scores!$A50="","",IF(ISNA(MATCH(Scores!$A50,Baseline!$A$2:$A$61,0)),"new",IF(Scores!F50=INDEX(Baseline!F$2:F$61,MATCH(Scores!$A50,Baseline!$A$2:$A$61,0)),"",INDEX(Baseline!F$2:F$61,MATCH(Scores!$A50,Baseline!$A$2:$A$61,0))&amp;" to "&amp;Scores!F50)))</f>
        <v/>
      </c>
      <c r="F50" s="12" t="str">
        <f aca="false">IF(Scores!$A50="","",IF(ISNA(MATCH(Scores!$A50,Baseline!$A$2:$A$61,0)),"new",IF(Scores!G50=INDEX(Baseline!G$2:G$61,MATCH(Scores!$A50,Baseline!$A$2:$A$61,0)),"",INDEX(Baseline!G$2:G$61,MATCH(Scores!$A50,Baseline!$A$2:$A$61,0))&amp;" to "&amp;Scores!G50)))</f>
        <v/>
      </c>
      <c r="G50" s="12" t="str">
        <f aca="false">IF(Scores!$A50="","",IF(ISNA(MATCH(Scores!$A50,Baseline!$A$2:$A$61,0)),"new",IF(Scores!H50=INDEX(Baseline!H$2:H$61,MATCH(Scores!$A50,Baseline!$A$2:$A$61,0)),"",INDEX(Baseline!H$2:H$61,MATCH(Scores!$A50,Baseline!$A$2:$A$61,0))&amp;" to "&amp;Scores!H50)))</f>
        <v/>
      </c>
      <c r="H50" s="12" t="str">
        <f aca="false">IF(Scores!$A50="","",IF(ISNA(MATCH(Scores!$A50,Baseline!$A$2:$A$61,0)),"new",IF(Scores!I50=INDEX(Baseline!I$2:I$61,MATCH(Scores!$A50,Baseline!$A$2:$A$61,0)),"",INDEX(Baseline!I$2:I$61,MATCH(Scores!$A50,Baseline!$A$2:$A$61,0))&amp;" to "&amp;Scores!I50)))</f>
        <v/>
      </c>
      <c r="I50" s="12" t="str">
        <f aca="false">IF(Scores!$A50="","",IF(ISNA(MATCH(Scores!$A50,Baseline!$A$2:$A$61,0)),"new",IF(Scores!J50=INDEX(Baseline!J$2:J$61,MATCH(Scores!$A50,Baseline!$A$2:$A$61,0)),"",INDEX(Baseline!J$2:J$61,MATCH(Scores!$A50,Baseline!$A$2:$A$61,0))&amp;" to "&amp;Scores!J50)))</f>
        <v/>
      </c>
      <c r="J50" s="12" t="str">
        <f aca="false">IF(Scores!$A50="","",IF(ISNA(MATCH(Scores!$A50,Baseline!$A$2:$A$61,0)),"new",IF(Scores!K50=INDEX(Baseline!K$2:K$61,MATCH(Scores!$A50,Baseline!$A$2:$A$61,0)),"",INDEX(Baseline!K$2:K$61,MATCH(Scores!$A50,Baseline!$A$2:$A$61,0))&amp;" to "&amp;Scores!K50)))</f>
        <v/>
      </c>
      <c r="K50" s="12" t="str">
        <f aca="false">IF(Scores!$A50="","",IF(ISNA(MATCH(Scores!$A50,Baseline!$A$2:$A$61,0)),"new",COUNTIF(B50:J50,"* to *")))</f>
        <v/>
      </c>
    </row>
    <row r="51" customFormat="false" ht="15" hidden="false" customHeight="false" outlineLevel="0" collapsed="false">
      <c r="A51" s="12" t="str">
        <f aca="false">IF(Scores!$A51="","",IF(ISNA(MATCH(Scores!$A51,Baseline!$A$2:$A$61,0)),Scores!A51&amp;" (new case)",Scores!A51))</f>
        <v/>
      </c>
      <c r="B51" s="12" t="str">
        <f aca="false">IF(Scores!$A51="","",IF(ISNA(MATCH(Scores!$A51,Baseline!$A$2:$A$61,0)),"new",IF(Scores!C51=INDEX(Baseline!C$2:C$61,MATCH(Scores!$A51,Baseline!$A$2:$A$61,0)),"",INDEX(Baseline!C$2:C$61,MATCH(Scores!$A51,Baseline!$A$2:$A$61,0))&amp;" to "&amp;Scores!C51)))</f>
        <v/>
      </c>
      <c r="C51" s="12" t="str">
        <f aca="false">IF(Scores!$A51="","",IF(ISNA(MATCH(Scores!$A51,Baseline!$A$2:$A$61,0)),"new",IF(Scores!D51=INDEX(Baseline!D$2:D$61,MATCH(Scores!$A51,Baseline!$A$2:$A$61,0)),"",INDEX(Baseline!D$2:D$61,MATCH(Scores!$A51,Baseline!$A$2:$A$61,0))&amp;" to "&amp;Scores!D51)))</f>
        <v/>
      </c>
      <c r="D51" s="12" t="str">
        <f aca="false">IF(Scores!$A51="","",IF(ISNA(MATCH(Scores!$A51,Baseline!$A$2:$A$61,0)),"new",IF(Scores!E51=INDEX(Baseline!E$2:E$61,MATCH(Scores!$A51,Baseline!$A$2:$A$61,0)),"",INDEX(Baseline!E$2:E$61,MATCH(Scores!$A51,Baseline!$A$2:$A$61,0))&amp;" to "&amp;Scores!E51)))</f>
        <v/>
      </c>
      <c r="E51" s="12" t="str">
        <f aca="false">IF(Scores!$A51="","",IF(ISNA(MATCH(Scores!$A51,Baseline!$A$2:$A$61,0)),"new",IF(Scores!F51=INDEX(Baseline!F$2:F$61,MATCH(Scores!$A51,Baseline!$A$2:$A$61,0)),"",INDEX(Baseline!F$2:F$61,MATCH(Scores!$A51,Baseline!$A$2:$A$61,0))&amp;" to "&amp;Scores!F51)))</f>
        <v/>
      </c>
      <c r="F51" s="12" t="str">
        <f aca="false">IF(Scores!$A51="","",IF(ISNA(MATCH(Scores!$A51,Baseline!$A$2:$A$61,0)),"new",IF(Scores!G51=INDEX(Baseline!G$2:G$61,MATCH(Scores!$A51,Baseline!$A$2:$A$61,0)),"",INDEX(Baseline!G$2:G$61,MATCH(Scores!$A51,Baseline!$A$2:$A$61,0))&amp;" to "&amp;Scores!G51)))</f>
        <v/>
      </c>
      <c r="G51" s="12" t="str">
        <f aca="false">IF(Scores!$A51="","",IF(ISNA(MATCH(Scores!$A51,Baseline!$A$2:$A$61,0)),"new",IF(Scores!H51=INDEX(Baseline!H$2:H$61,MATCH(Scores!$A51,Baseline!$A$2:$A$61,0)),"",INDEX(Baseline!H$2:H$61,MATCH(Scores!$A51,Baseline!$A$2:$A$61,0))&amp;" to "&amp;Scores!H51)))</f>
        <v/>
      </c>
      <c r="H51" s="12" t="str">
        <f aca="false">IF(Scores!$A51="","",IF(ISNA(MATCH(Scores!$A51,Baseline!$A$2:$A$61,0)),"new",IF(Scores!I51=INDEX(Baseline!I$2:I$61,MATCH(Scores!$A51,Baseline!$A$2:$A$61,0)),"",INDEX(Baseline!I$2:I$61,MATCH(Scores!$A51,Baseline!$A$2:$A$61,0))&amp;" to "&amp;Scores!I51)))</f>
        <v/>
      </c>
      <c r="I51" s="12" t="str">
        <f aca="false">IF(Scores!$A51="","",IF(ISNA(MATCH(Scores!$A51,Baseline!$A$2:$A$61,0)),"new",IF(Scores!J51=INDEX(Baseline!J$2:J$61,MATCH(Scores!$A51,Baseline!$A$2:$A$61,0)),"",INDEX(Baseline!J$2:J$61,MATCH(Scores!$A51,Baseline!$A$2:$A$61,0))&amp;" to "&amp;Scores!J51)))</f>
        <v/>
      </c>
      <c r="J51" s="12" t="str">
        <f aca="false">IF(Scores!$A51="","",IF(ISNA(MATCH(Scores!$A51,Baseline!$A$2:$A$61,0)),"new",IF(Scores!K51=INDEX(Baseline!K$2:K$61,MATCH(Scores!$A51,Baseline!$A$2:$A$61,0)),"",INDEX(Baseline!K$2:K$61,MATCH(Scores!$A51,Baseline!$A$2:$A$61,0))&amp;" to "&amp;Scores!K51)))</f>
        <v/>
      </c>
      <c r="K51" s="12" t="str">
        <f aca="false">IF(Scores!$A51="","",IF(ISNA(MATCH(Scores!$A51,Baseline!$A$2:$A$61,0)),"new",COUNTIF(B51:J51,"* to *")))</f>
        <v/>
      </c>
    </row>
    <row r="52" customFormat="false" ht="15" hidden="false" customHeight="false" outlineLevel="0" collapsed="false">
      <c r="A52" s="12" t="str">
        <f aca="false">IF(Scores!$A52="","",IF(ISNA(MATCH(Scores!$A52,Baseline!$A$2:$A$61,0)),Scores!A52&amp;" (new case)",Scores!A52))</f>
        <v/>
      </c>
      <c r="B52" s="12" t="str">
        <f aca="false">IF(Scores!$A52="","",IF(ISNA(MATCH(Scores!$A52,Baseline!$A$2:$A$61,0)),"new",IF(Scores!C52=INDEX(Baseline!C$2:C$61,MATCH(Scores!$A52,Baseline!$A$2:$A$61,0)),"",INDEX(Baseline!C$2:C$61,MATCH(Scores!$A52,Baseline!$A$2:$A$61,0))&amp;" to "&amp;Scores!C52)))</f>
        <v/>
      </c>
      <c r="C52" s="12" t="str">
        <f aca="false">IF(Scores!$A52="","",IF(ISNA(MATCH(Scores!$A52,Baseline!$A$2:$A$61,0)),"new",IF(Scores!D52=INDEX(Baseline!D$2:D$61,MATCH(Scores!$A52,Baseline!$A$2:$A$61,0)),"",INDEX(Baseline!D$2:D$61,MATCH(Scores!$A52,Baseline!$A$2:$A$61,0))&amp;" to "&amp;Scores!D52)))</f>
        <v/>
      </c>
      <c r="D52" s="12" t="str">
        <f aca="false">IF(Scores!$A52="","",IF(ISNA(MATCH(Scores!$A52,Baseline!$A$2:$A$61,0)),"new",IF(Scores!E52=INDEX(Baseline!E$2:E$61,MATCH(Scores!$A52,Baseline!$A$2:$A$61,0)),"",INDEX(Baseline!E$2:E$61,MATCH(Scores!$A52,Baseline!$A$2:$A$61,0))&amp;" to "&amp;Scores!E52)))</f>
        <v/>
      </c>
      <c r="E52" s="12" t="str">
        <f aca="false">IF(Scores!$A52="","",IF(ISNA(MATCH(Scores!$A52,Baseline!$A$2:$A$61,0)),"new",IF(Scores!F52=INDEX(Baseline!F$2:F$61,MATCH(Scores!$A52,Baseline!$A$2:$A$61,0)),"",INDEX(Baseline!F$2:F$61,MATCH(Scores!$A52,Baseline!$A$2:$A$61,0))&amp;" to "&amp;Scores!F52)))</f>
        <v/>
      </c>
      <c r="F52" s="12" t="str">
        <f aca="false">IF(Scores!$A52="","",IF(ISNA(MATCH(Scores!$A52,Baseline!$A$2:$A$61,0)),"new",IF(Scores!G52=INDEX(Baseline!G$2:G$61,MATCH(Scores!$A52,Baseline!$A$2:$A$61,0)),"",INDEX(Baseline!G$2:G$61,MATCH(Scores!$A52,Baseline!$A$2:$A$61,0))&amp;" to "&amp;Scores!G52)))</f>
        <v/>
      </c>
      <c r="G52" s="12" t="str">
        <f aca="false">IF(Scores!$A52="","",IF(ISNA(MATCH(Scores!$A52,Baseline!$A$2:$A$61,0)),"new",IF(Scores!H52=INDEX(Baseline!H$2:H$61,MATCH(Scores!$A52,Baseline!$A$2:$A$61,0)),"",INDEX(Baseline!H$2:H$61,MATCH(Scores!$A52,Baseline!$A$2:$A$61,0))&amp;" to "&amp;Scores!H52)))</f>
        <v/>
      </c>
      <c r="H52" s="12" t="str">
        <f aca="false">IF(Scores!$A52="","",IF(ISNA(MATCH(Scores!$A52,Baseline!$A$2:$A$61,0)),"new",IF(Scores!I52=INDEX(Baseline!I$2:I$61,MATCH(Scores!$A52,Baseline!$A$2:$A$61,0)),"",INDEX(Baseline!I$2:I$61,MATCH(Scores!$A52,Baseline!$A$2:$A$61,0))&amp;" to "&amp;Scores!I52)))</f>
        <v/>
      </c>
      <c r="I52" s="12" t="str">
        <f aca="false">IF(Scores!$A52="","",IF(ISNA(MATCH(Scores!$A52,Baseline!$A$2:$A$61,0)),"new",IF(Scores!J52=INDEX(Baseline!J$2:J$61,MATCH(Scores!$A52,Baseline!$A$2:$A$61,0)),"",INDEX(Baseline!J$2:J$61,MATCH(Scores!$A52,Baseline!$A$2:$A$61,0))&amp;" to "&amp;Scores!J52)))</f>
        <v/>
      </c>
      <c r="J52" s="12" t="str">
        <f aca="false">IF(Scores!$A52="","",IF(ISNA(MATCH(Scores!$A52,Baseline!$A$2:$A$61,0)),"new",IF(Scores!K52=INDEX(Baseline!K$2:K$61,MATCH(Scores!$A52,Baseline!$A$2:$A$61,0)),"",INDEX(Baseline!K$2:K$61,MATCH(Scores!$A52,Baseline!$A$2:$A$61,0))&amp;" to "&amp;Scores!K52)))</f>
        <v/>
      </c>
      <c r="K52" s="12" t="str">
        <f aca="false">IF(Scores!$A52="","",IF(ISNA(MATCH(Scores!$A52,Baseline!$A$2:$A$61,0)),"new",COUNTIF(B52:J52,"* to *")))</f>
        <v/>
      </c>
    </row>
    <row r="53" customFormat="false" ht="15" hidden="false" customHeight="false" outlineLevel="0" collapsed="false">
      <c r="A53" s="12" t="str">
        <f aca="false">IF(Scores!$A53="","",IF(ISNA(MATCH(Scores!$A53,Baseline!$A$2:$A$61,0)),Scores!A53&amp;" (new case)",Scores!A53))</f>
        <v/>
      </c>
      <c r="B53" s="12" t="str">
        <f aca="false">IF(Scores!$A53="","",IF(ISNA(MATCH(Scores!$A53,Baseline!$A$2:$A$61,0)),"new",IF(Scores!C53=INDEX(Baseline!C$2:C$61,MATCH(Scores!$A53,Baseline!$A$2:$A$61,0)),"",INDEX(Baseline!C$2:C$61,MATCH(Scores!$A53,Baseline!$A$2:$A$61,0))&amp;" to "&amp;Scores!C53)))</f>
        <v/>
      </c>
      <c r="C53" s="12" t="str">
        <f aca="false">IF(Scores!$A53="","",IF(ISNA(MATCH(Scores!$A53,Baseline!$A$2:$A$61,0)),"new",IF(Scores!D53=INDEX(Baseline!D$2:D$61,MATCH(Scores!$A53,Baseline!$A$2:$A$61,0)),"",INDEX(Baseline!D$2:D$61,MATCH(Scores!$A53,Baseline!$A$2:$A$61,0))&amp;" to "&amp;Scores!D53)))</f>
        <v/>
      </c>
      <c r="D53" s="12" t="str">
        <f aca="false">IF(Scores!$A53="","",IF(ISNA(MATCH(Scores!$A53,Baseline!$A$2:$A$61,0)),"new",IF(Scores!E53=INDEX(Baseline!E$2:E$61,MATCH(Scores!$A53,Baseline!$A$2:$A$61,0)),"",INDEX(Baseline!E$2:E$61,MATCH(Scores!$A53,Baseline!$A$2:$A$61,0))&amp;" to "&amp;Scores!E53)))</f>
        <v/>
      </c>
      <c r="E53" s="12" t="str">
        <f aca="false">IF(Scores!$A53="","",IF(ISNA(MATCH(Scores!$A53,Baseline!$A$2:$A$61,0)),"new",IF(Scores!F53=INDEX(Baseline!F$2:F$61,MATCH(Scores!$A53,Baseline!$A$2:$A$61,0)),"",INDEX(Baseline!F$2:F$61,MATCH(Scores!$A53,Baseline!$A$2:$A$61,0))&amp;" to "&amp;Scores!F53)))</f>
        <v/>
      </c>
      <c r="F53" s="12" t="str">
        <f aca="false">IF(Scores!$A53="","",IF(ISNA(MATCH(Scores!$A53,Baseline!$A$2:$A$61,0)),"new",IF(Scores!G53=INDEX(Baseline!G$2:G$61,MATCH(Scores!$A53,Baseline!$A$2:$A$61,0)),"",INDEX(Baseline!G$2:G$61,MATCH(Scores!$A53,Baseline!$A$2:$A$61,0))&amp;" to "&amp;Scores!G53)))</f>
        <v/>
      </c>
      <c r="G53" s="12" t="str">
        <f aca="false">IF(Scores!$A53="","",IF(ISNA(MATCH(Scores!$A53,Baseline!$A$2:$A$61,0)),"new",IF(Scores!H53=INDEX(Baseline!H$2:H$61,MATCH(Scores!$A53,Baseline!$A$2:$A$61,0)),"",INDEX(Baseline!H$2:H$61,MATCH(Scores!$A53,Baseline!$A$2:$A$61,0))&amp;" to "&amp;Scores!H53)))</f>
        <v/>
      </c>
      <c r="H53" s="12" t="str">
        <f aca="false">IF(Scores!$A53="","",IF(ISNA(MATCH(Scores!$A53,Baseline!$A$2:$A$61,0)),"new",IF(Scores!I53=INDEX(Baseline!I$2:I$61,MATCH(Scores!$A53,Baseline!$A$2:$A$61,0)),"",INDEX(Baseline!I$2:I$61,MATCH(Scores!$A53,Baseline!$A$2:$A$61,0))&amp;" to "&amp;Scores!I53)))</f>
        <v/>
      </c>
      <c r="I53" s="12" t="str">
        <f aca="false">IF(Scores!$A53="","",IF(ISNA(MATCH(Scores!$A53,Baseline!$A$2:$A$61,0)),"new",IF(Scores!J53=INDEX(Baseline!J$2:J$61,MATCH(Scores!$A53,Baseline!$A$2:$A$61,0)),"",INDEX(Baseline!J$2:J$61,MATCH(Scores!$A53,Baseline!$A$2:$A$61,0))&amp;" to "&amp;Scores!J53)))</f>
        <v/>
      </c>
      <c r="J53" s="12" t="str">
        <f aca="false">IF(Scores!$A53="","",IF(ISNA(MATCH(Scores!$A53,Baseline!$A$2:$A$61,0)),"new",IF(Scores!K53=INDEX(Baseline!K$2:K$61,MATCH(Scores!$A53,Baseline!$A$2:$A$61,0)),"",INDEX(Baseline!K$2:K$61,MATCH(Scores!$A53,Baseline!$A$2:$A$61,0))&amp;" to "&amp;Scores!K53)))</f>
        <v/>
      </c>
      <c r="K53" s="12" t="str">
        <f aca="false">IF(Scores!$A53="","",IF(ISNA(MATCH(Scores!$A53,Baseline!$A$2:$A$61,0)),"new",COUNTIF(B53:J53,"* to *")))</f>
        <v/>
      </c>
    </row>
    <row r="54" customFormat="false" ht="15" hidden="false" customHeight="false" outlineLevel="0" collapsed="false">
      <c r="A54" s="12" t="str">
        <f aca="false">IF(Scores!$A54="","",IF(ISNA(MATCH(Scores!$A54,Baseline!$A$2:$A$61,0)),Scores!A54&amp;" (new case)",Scores!A54))</f>
        <v/>
      </c>
      <c r="B54" s="12" t="str">
        <f aca="false">IF(Scores!$A54="","",IF(ISNA(MATCH(Scores!$A54,Baseline!$A$2:$A$61,0)),"new",IF(Scores!C54=INDEX(Baseline!C$2:C$61,MATCH(Scores!$A54,Baseline!$A$2:$A$61,0)),"",INDEX(Baseline!C$2:C$61,MATCH(Scores!$A54,Baseline!$A$2:$A$61,0))&amp;" to "&amp;Scores!C54)))</f>
        <v/>
      </c>
      <c r="C54" s="12" t="str">
        <f aca="false">IF(Scores!$A54="","",IF(ISNA(MATCH(Scores!$A54,Baseline!$A$2:$A$61,0)),"new",IF(Scores!D54=INDEX(Baseline!D$2:D$61,MATCH(Scores!$A54,Baseline!$A$2:$A$61,0)),"",INDEX(Baseline!D$2:D$61,MATCH(Scores!$A54,Baseline!$A$2:$A$61,0))&amp;" to "&amp;Scores!D54)))</f>
        <v/>
      </c>
      <c r="D54" s="12" t="str">
        <f aca="false">IF(Scores!$A54="","",IF(ISNA(MATCH(Scores!$A54,Baseline!$A$2:$A$61,0)),"new",IF(Scores!E54=INDEX(Baseline!E$2:E$61,MATCH(Scores!$A54,Baseline!$A$2:$A$61,0)),"",INDEX(Baseline!E$2:E$61,MATCH(Scores!$A54,Baseline!$A$2:$A$61,0))&amp;" to "&amp;Scores!E54)))</f>
        <v/>
      </c>
      <c r="E54" s="12" t="str">
        <f aca="false">IF(Scores!$A54="","",IF(ISNA(MATCH(Scores!$A54,Baseline!$A$2:$A$61,0)),"new",IF(Scores!F54=INDEX(Baseline!F$2:F$61,MATCH(Scores!$A54,Baseline!$A$2:$A$61,0)),"",INDEX(Baseline!F$2:F$61,MATCH(Scores!$A54,Baseline!$A$2:$A$61,0))&amp;" to "&amp;Scores!F54)))</f>
        <v/>
      </c>
      <c r="F54" s="12" t="str">
        <f aca="false">IF(Scores!$A54="","",IF(ISNA(MATCH(Scores!$A54,Baseline!$A$2:$A$61,0)),"new",IF(Scores!G54=INDEX(Baseline!G$2:G$61,MATCH(Scores!$A54,Baseline!$A$2:$A$61,0)),"",INDEX(Baseline!G$2:G$61,MATCH(Scores!$A54,Baseline!$A$2:$A$61,0))&amp;" to "&amp;Scores!G54)))</f>
        <v/>
      </c>
      <c r="G54" s="12" t="str">
        <f aca="false">IF(Scores!$A54="","",IF(ISNA(MATCH(Scores!$A54,Baseline!$A$2:$A$61,0)),"new",IF(Scores!H54=INDEX(Baseline!H$2:H$61,MATCH(Scores!$A54,Baseline!$A$2:$A$61,0)),"",INDEX(Baseline!H$2:H$61,MATCH(Scores!$A54,Baseline!$A$2:$A$61,0))&amp;" to "&amp;Scores!H54)))</f>
        <v/>
      </c>
      <c r="H54" s="12" t="str">
        <f aca="false">IF(Scores!$A54="","",IF(ISNA(MATCH(Scores!$A54,Baseline!$A$2:$A$61,0)),"new",IF(Scores!I54=INDEX(Baseline!I$2:I$61,MATCH(Scores!$A54,Baseline!$A$2:$A$61,0)),"",INDEX(Baseline!I$2:I$61,MATCH(Scores!$A54,Baseline!$A$2:$A$61,0))&amp;" to "&amp;Scores!I54)))</f>
        <v/>
      </c>
      <c r="I54" s="12" t="str">
        <f aca="false">IF(Scores!$A54="","",IF(ISNA(MATCH(Scores!$A54,Baseline!$A$2:$A$61,0)),"new",IF(Scores!J54=INDEX(Baseline!J$2:J$61,MATCH(Scores!$A54,Baseline!$A$2:$A$61,0)),"",INDEX(Baseline!J$2:J$61,MATCH(Scores!$A54,Baseline!$A$2:$A$61,0))&amp;" to "&amp;Scores!J54)))</f>
        <v/>
      </c>
      <c r="J54" s="12" t="str">
        <f aca="false">IF(Scores!$A54="","",IF(ISNA(MATCH(Scores!$A54,Baseline!$A$2:$A$61,0)),"new",IF(Scores!K54=INDEX(Baseline!K$2:K$61,MATCH(Scores!$A54,Baseline!$A$2:$A$61,0)),"",INDEX(Baseline!K$2:K$61,MATCH(Scores!$A54,Baseline!$A$2:$A$61,0))&amp;" to "&amp;Scores!K54)))</f>
        <v/>
      </c>
      <c r="K54" s="12" t="str">
        <f aca="false">IF(Scores!$A54="","",IF(ISNA(MATCH(Scores!$A54,Baseline!$A$2:$A$61,0)),"new",COUNTIF(B54:J54,"* to *")))</f>
        <v/>
      </c>
    </row>
    <row r="55" customFormat="false" ht="15" hidden="false" customHeight="false" outlineLevel="0" collapsed="false">
      <c r="A55" s="12" t="str">
        <f aca="false">IF(Scores!$A55="","",IF(ISNA(MATCH(Scores!$A55,Baseline!$A$2:$A$61,0)),Scores!A55&amp;" (new case)",Scores!A55))</f>
        <v/>
      </c>
      <c r="B55" s="12" t="str">
        <f aca="false">IF(Scores!$A55="","",IF(ISNA(MATCH(Scores!$A55,Baseline!$A$2:$A$61,0)),"new",IF(Scores!C55=INDEX(Baseline!C$2:C$61,MATCH(Scores!$A55,Baseline!$A$2:$A$61,0)),"",INDEX(Baseline!C$2:C$61,MATCH(Scores!$A55,Baseline!$A$2:$A$61,0))&amp;" to "&amp;Scores!C55)))</f>
        <v/>
      </c>
      <c r="C55" s="12" t="str">
        <f aca="false">IF(Scores!$A55="","",IF(ISNA(MATCH(Scores!$A55,Baseline!$A$2:$A$61,0)),"new",IF(Scores!D55=INDEX(Baseline!D$2:D$61,MATCH(Scores!$A55,Baseline!$A$2:$A$61,0)),"",INDEX(Baseline!D$2:D$61,MATCH(Scores!$A55,Baseline!$A$2:$A$61,0))&amp;" to "&amp;Scores!D55)))</f>
        <v/>
      </c>
      <c r="D55" s="12" t="str">
        <f aca="false">IF(Scores!$A55="","",IF(ISNA(MATCH(Scores!$A55,Baseline!$A$2:$A$61,0)),"new",IF(Scores!E55=INDEX(Baseline!E$2:E$61,MATCH(Scores!$A55,Baseline!$A$2:$A$61,0)),"",INDEX(Baseline!E$2:E$61,MATCH(Scores!$A55,Baseline!$A$2:$A$61,0))&amp;" to "&amp;Scores!E55)))</f>
        <v/>
      </c>
      <c r="E55" s="12" t="str">
        <f aca="false">IF(Scores!$A55="","",IF(ISNA(MATCH(Scores!$A55,Baseline!$A$2:$A$61,0)),"new",IF(Scores!F55=INDEX(Baseline!F$2:F$61,MATCH(Scores!$A55,Baseline!$A$2:$A$61,0)),"",INDEX(Baseline!F$2:F$61,MATCH(Scores!$A55,Baseline!$A$2:$A$61,0))&amp;" to "&amp;Scores!F55)))</f>
        <v/>
      </c>
      <c r="F55" s="12" t="str">
        <f aca="false">IF(Scores!$A55="","",IF(ISNA(MATCH(Scores!$A55,Baseline!$A$2:$A$61,0)),"new",IF(Scores!G55=INDEX(Baseline!G$2:G$61,MATCH(Scores!$A55,Baseline!$A$2:$A$61,0)),"",INDEX(Baseline!G$2:G$61,MATCH(Scores!$A55,Baseline!$A$2:$A$61,0))&amp;" to "&amp;Scores!G55)))</f>
        <v/>
      </c>
      <c r="G55" s="12" t="str">
        <f aca="false">IF(Scores!$A55="","",IF(ISNA(MATCH(Scores!$A55,Baseline!$A$2:$A$61,0)),"new",IF(Scores!H55=INDEX(Baseline!H$2:H$61,MATCH(Scores!$A55,Baseline!$A$2:$A$61,0)),"",INDEX(Baseline!H$2:H$61,MATCH(Scores!$A55,Baseline!$A$2:$A$61,0))&amp;" to "&amp;Scores!H55)))</f>
        <v/>
      </c>
      <c r="H55" s="12" t="str">
        <f aca="false">IF(Scores!$A55="","",IF(ISNA(MATCH(Scores!$A55,Baseline!$A$2:$A$61,0)),"new",IF(Scores!I55=INDEX(Baseline!I$2:I$61,MATCH(Scores!$A55,Baseline!$A$2:$A$61,0)),"",INDEX(Baseline!I$2:I$61,MATCH(Scores!$A55,Baseline!$A$2:$A$61,0))&amp;" to "&amp;Scores!I55)))</f>
        <v/>
      </c>
      <c r="I55" s="12" t="str">
        <f aca="false">IF(Scores!$A55="","",IF(ISNA(MATCH(Scores!$A55,Baseline!$A$2:$A$61,0)),"new",IF(Scores!J55=INDEX(Baseline!J$2:J$61,MATCH(Scores!$A55,Baseline!$A$2:$A$61,0)),"",INDEX(Baseline!J$2:J$61,MATCH(Scores!$A55,Baseline!$A$2:$A$61,0))&amp;" to "&amp;Scores!J55)))</f>
        <v/>
      </c>
      <c r="J55" s="12" t="str">
        <f aca="false">IF(Scores!$A55="","",IF(ISNA(MATCH(Scores!$A55,Baseline!$A$2:$A$61,0)),"new",IF(Scores!K55=INDEX(Baseline!K$2:K$61,MATCH(Scores!$A55,Baseline!$A$2:$A$61,0)),"",INDEX(Baseline!K$2:K$61,MATCH(Scores!$A55,Baseline!$A$2:$A$61,0))&amp;" to "&amp;Scores!K55)))</f>
        <v/>
      </c>
      <c r="K55" s="12" t="str">
        <f aca="false">IF(Scores!$A55="","",IF(ISNA(MATCH(Scores!$A55,Baseline!$A$2:$A$61,0)),"new",COUNTIF(B55:J55,"* to *")))</f>
        <v/>
      </c>
    </row>
    <row r="56" customFormat="false" ht="15" hidden="false" customHeight="false" outlineLevel="0" collapsed="false">
      <c r="A56" s="12" t="str">
        <f aca="false">IF(Scores!$A56="","",IF(ISNA(MATCH(Scores!$A56,Baseline!$A$2:$A$61,0)),Scores!A56&amp;" (new case)",Scores!A56))</f>
        <v/>
      </c>
      <c r="B56" s="12" t="str">
        <f aca="false">IF(Scores!$A56="","",IF(ISNA(MATCH(Scores!$A56,Baseline!$A$2:$A$61,0)),"new",IF(Scores!C56=INDEX(Baseline!C$2:C$61,MATCH(Scores!$A56,Baseline!$A$2:$A$61,0)),"",INDEX(Baseline!C$2:C$61,MATCH(Scores!$A56,Baseline!$A$2:$A$61,0))&amp;" to "&amp;Scores!C56)))</f>
        <v/>
      </c>
      <c r="C56" s="12" t="str">
        <f aca="false">IF(Scores!$A56="","",IF(ISNA(MATCH(Scores!$A56,Baseline!$A$2:$A$61,0)),"new",IF(Scores!D56=INDEX(Baseline!D$2:D$61,MATCH(Scores!$A56,Baseline!$A$2:$A$61,0)),"",INDEX(Baseline!D$2:D$61,MATCH(Scores!$A56,Baseline!$A$2:$A$61,0))&amp;" to "&amp;Scores!D56)))</f>
        <v/>
      </c>
      <c r="D56" s="12" t="str">
        <f aca="false">IF(Scores!$A56="","",IF(ISNA(MATCH(Scores!$A56,Baseline!$A$2:$A$61,0)),"new",IF(Scores!E56=INDEX(Baseline!E$2:E$61,MATCH(Scores!$A56,Baseline!$A$2:$A$61,0)),"",INDEX(Baseline!E$2:E$61,MATCH(Scores!$A56,Baseline!$A$2:$A$61,0))&amp;" to "&amp;Scores!E56)))</f>
        <v/>
      </c>
      <c r="E56" s="12" t="str">
        <f aca="false">IF(Scores!$A56="","",IF(ISNA(MATCH(Scores!$A56,Baseline!$A$2:$A$61,0)),"new",IF(Scores!F56=INDEX(Baseline!F$2:F$61,MATCH(Scores!$A56,Baseline!$A$2:$A$61,0)),"",INDEX(Baseline!F$2:F$61,MATCH(Scores!$A56,Baseline!$A$2:$A$61,0))&amp;" to "&amp;Scores!F56)))</f>
        <v/>
      </c>
      <c r="F56" s="12" t="str">
        <f aca="false">IF(Scores!$A56="","",IF(ISNA(MATCH(Scores!$A56,Baseline!$A$2:$A$61,0)),"new",IF(Scores!G56=INDEX(Baseline!G$2:G$61,MATCH(Scores!$A56,Baseline!$A$2:$A$61,0)),"",INDEX(Baseline!G$2:G$61,MATCH(Scores!$A56,Baseline!$A$2:$A$61,0))&amp;" to "&amp;Scores!G56)))</f>
        <v/>
      </c>
      <c r="G56" s="12" t="str">
        <f aca="false">IF(Scores!$A56="","",IF(ISNA(MATCH(Scores!$A56,Baseline!$A$2:$A$61,0)),"new",IF(Scores!H56=INDEX(Baseline!H$2:H$61,MATCH(Scores!$A56,Baseline!$A$2:$A$61,0)),"",INDEX(Baseline!H$2:H$61,MATCH(Scores!$A56,Baseline!$A$2:$A$61,0))&amp;" to "&amp;Scores!H56)))</f>
        <v/>
      </c>
      <c r="H56" s="12" t="str">
        <f aca="false">IF(Scores!$A56="","",IF(ISNA(MATCH(Scores!$A56,Baseline!$A$2:$A$61,0)),"new",IF(Scores!I56=INDEX(Baseline!I$2:I$61,MATCH(Scores!$A56,Baseline!$A$2:$A$61,0)),"",INDEX(Baseline!I$2:I$61,MATCH(Scores!$A56,Baseline!$A$2:$A$61,0))&amp;" to "&amp;Scores!I56)))</f>
        <v/>
      </c>
      <c r="I56" s="12" t="str">
        <f aca="false">IF(Scores!$A56="","",IF(ISNA(MATCH(Scores!$A56,Baseline!$A$2:$A$61,0)),"new",IF(Scores!J56=INDEX(Baseline!J$2:J$61,MATCH(Scores!$A56,Baseline!$A$2:$A$61,0)),"",INDEX(Baseline!J$2:J$61,MATCH(Scores!$A56,Baseline!$A$2:$A$61,0))&amp;" to "&amp;Scores!J56)))</f>
        <v/>
      </c>
      <c r="J56" s="12" t="str">
        <f aca="false">IF(Scores!$A56="","",IF(ISNA(MATCH(Scores!$A56,Baseline!$A$2:$A$61,0)),"new",IF(Scores!K56=INDEX(Baseline!K$2:K$61,MATCH(Scores!$A56,Baseline!$A$2:$A$61,0)),"",INDEX(Baseline!K$2:K$61,MATCH(Scores!$A56,Baseline!$A$2:$A$61,0))&amp;" to "&amp;Scores!K56)))</f>
        <v/>
      </c>
      <c r="K56" s="12" t="str">
        <f aca="false">IF(Scores!$A56="","",IF(ISNA(MATCH(Scores!$A56,Baseline!$A$2:$A$61,0)),"new",COUNTIF(B56:J56,"* to *")))</f>
        <v/>
      </c>
    </row>
    <row r="57" customFormat="false" ht="15" hidden="false" customHeight="false" outlineLevel="0" collapsed="false">
      <c r="A57" s="12" t="str">
        <f aca="false">IF(Scores!$A57="","",IF(ISNA(MATCH(Scores!$A57,Baseline!$A$2:$A$61,0)),Scores!A57&amp;" (new case)",Scores!A57))</f>
        <v/>
      </c>
      <c r="B57" s="12" t="str">
        <f aca="false">IF(Scores!$A57="","",IF(ISNA(MATCH(Scores!$A57,Baseline!$A$2:$A$61,0)),"new",IF(Scores!C57=INDEX(Baseline!C$2:C$61,MATCH(Scores!$A57,Baseline!$A$2:$A$61,0)),"",INDEX(Baseline!C$2:C$61,MATCH(Scores!$A57,Baseline!$A$2:$A$61,0))&amp;" to "&amp;Scores!C57)))</f>
        <v/>
      </c>
      <c r="C57" s="12" t="str">
        <f aca="false">IF(Scores!$A57="","",IF(ISNA(MATCH(Scores!$A57,Baseline!$A$2:$A$61,0)),"new",IF(Scores!D57=INDEX(Baseline!D$2:D$61,MATCH(Scores!$A57,Baseline!$A$2:$A$61,0)),"",INDEX(Baseline!D$2:D$61,MATCH(Scores!$A57,Baseline!$A$2:$A$61,0))&amp;" to "&amp;Scores!D57)))</f>
        <v/>
      </c>
      <c r="D57" s="12" t="str">
        <f aca="false">IF(Scores!$A57="","",IF(ISNA(MATCH(Scores!$A57,Baseline!$A$2:$A$61,0)),"new",IF(Scores!E57=INDEX(Baseline!E$2:E$61,MATCH(Scores!$A57,Baseline!$A$2:$A$61,0)),"",INDEX(Baseline!E$2:E$61,MATCH(Scores!$A57,Baseline!$A$2:$A$61,0))&amp;" to "&amp;Scores!E57)))</f>
        <v/>
      </c>
      <c r="E57" s="12" t="str">
        <f aca="false">IF(Scores!$A57="","",IF(ISNA(MATCH(Scores!$A57,Baseline!$A$2:$A$61,0)),"new",IF(Scores!F57=INDEX(Baseline!F$2:F$61,MATCH(Scores!$A57,Baseline!$A$2:$A$61,0)),"",INDEX(Baseline!F$2:F$61,MATCH(Scores!$A57,Baseline!$A$2:$A$61,0))&amp;" to "&amp;Scores!F57)))</f>
        <v/>
      </c>
      <c r="F57" s="12" t="str">
        <f aca="false">IF(Scores!$A57="","",IF(ISNA(MATCH(Scores!$A57,Baseline!$A$2:$A$61,0)),"new",IF(Scores!G57=INDEX(Baseline!G$2:G$61,MATCH(Scores!$A57,Baseline!$A$2:$A$61,0)),"",INDEX(Baseline!G$2:G$61,MATCH(Scores!$A57,Baseline!$A$2:$A$61,0))&amp;" to "&amp;Scores!G57)))</f>
        <v/>
      </c>
      <c r="G57" s="12" t="str">
        <f aca="false">IF(Scores!$A57="","",IF(ISNA(MATCH(Scores!$A57,Baseline!$A$2:$A$61,0)),"new",IF(Scores!H57=INDEX(Baseline!H$2:H$61,MATCH(Scores!$A57,Baseline!$A$2:$A$61,0)),"",INDEX(Baseline!H$2:H$61,MATCH(Scores!$A57,Baseline!$A$2:$A$61,0))&amp;" to "&amp;Scores!H57)))</f>
        <v/>
      </c>
      <c r="H57" s="12" t="str">
        <f aca="false">IF(Scores!$A57="","",IF(ISNA(MATCH(Scores!$A57,Baseline!$A$2:$A$61,0)),"new",IF(Scores!I57=INDEX(Baseline!I$2:I$61,MATCH(Scores!$A57,Baseline!$A$2:$A$61,0)),"",INDEX(Baseline!I$2:I$61,MATCH(Scores!$A57,Baseline!$A$2:$A$61,0))&amp;" to "&amp;Scores!I57)))</f>
        <v/>
      </c>
      <c r="I57" s="12" t="str">
        <f aca="false">IF(Scores!$A57="","",IF(ISNA(MATCH(Scores!$A57,Baseline!$A$2:$A$61,0)),"new",IF(Scores!J57=INDEX(Baseline!J$2:J$61,MATCH(Scores!$A57,Baseline!$A$2:$A$61,0)),"",INDEX(Baseline!J$2:J$61,MATCH(Scores!$A57,Baseline!$A$2:$A$61,0))&amp;" to "&amp;Scores!J57)))</f>
        <v/>
      </c>
      <c r="J57" s="12" t="str">
        <f aca="false">IF(Scores!$A57="","",IF(ISNA(MATCH(Scores!$A57,Baseline!$A$2:$A$61,0)),"new",IF(Scores!K57=INDEX(Baseline!K$2:K$61,MATCH(Scores!$A57,Baseline!$A$2:$A$61,0)),"",INDEX(Baseline!K$2:K$61,MATCH(Scores!$A57,Baseline!$A$2:$A$61,0))&amp;" to "&amp;Scores!K57)))</f>
        <v/>
      </c>
      <c r="K57" s="12" t="str">
        <f aca="false">IF(Scores!$A57="","",IF(ISNA(MATCH(Scores!$A57,Baseline!$A$2:$A$61,0)),"new",COUNTIF(B57:J57,"* to *")))</f>
        <v/>
      </c>
    </row>
    <row r="58" customFormat="false" ht="15" hidden="false" customHeight="false" outlineLevel="0" collapsed="false">
      <c r="A58" s="12" t="str">
        <f aca="false">IF(Scores!$A58="","",IF(ISNA(MATCH(Scores!$A58,Baseline!$A$2:$A$61,0)),Scores!A58&amp;" (new case)",Scores!A58))</f>
        <v/>
      </c>
      <c r="B58" s="12" t="str">
        <f aca="false">IF(Scores!$A58="","",IF(ISNA(MATCH(Scores!$A58,Baseline!$A$2:$A$61,0)),"new",IF(Scores!C58=INDEX(Baseline!C$2:C$61,MATCH(Scores!$A58,Baseline!$A$2:$A$61,0)),"",INDEX(Baseline!C$2:C$61,MATCH(Scores!$A58,Baseline!$A$2:$A$61,0))&amp;" to "&amp;Scores!C58)))</f>
        <v/>
      </c>
      <c r="C58" s="12" t="str">
        <f aca="false">IF(Scores!$A58="","",IF(ISNA(MATCH(Scores!$A58,Baseline!$A$2:$A$61,0)),"new",IF(Scores!D58=INDEX(Baseline!D$2:D$61,MATCH(Scores!$A58,Baseline!$A$2:$A$61,0)),"",INDEX(Baseline!D$2:D$61,MATCH(Scores!$A58,Baseline!$A$2:$A$61,0))&amp;" to "&amp;Scores!D58)))</f>
        <v/>
      </c>
      <c r="D58" s="12" t="str">
        <f aca="false">IF(Scores!$A58="","",IF(ISNA(MATCH(Scores!$A58,Baseline!$A$2:$A$61,0)),"new",IF(Scores!E58=INDEX(Baseline!E$2:E$61,MATCH(Scores!$A58,Baseline!$A$2:$A$61,0)),"",INDEX(Baseline!E$2:E$61,MATCH(Scores!$A58,Baseline!$A$2:$A$61,0))&amp;" to "&amp;Scores!E58)))</f>
        <v/>
      </c>
      <c r="E58" s="12" t="str">
        <f aca="false">IF(Scores!$A58="","",IF(ISNA(MATCH(Scores!$A58,Baseline!$A$2:$A$61,0)),"new",IF(Scores!F58=INDEX(Baseline!F$2:F$61,MATCH(Scores!$A58,Baseline!$A$2:$A$61,0)),"",INDEX(Baseline!F$2:F$61,MATCH(Scores!$A58,Baseline!$A$2:$A$61,0))&amp;" to "&amp;Scores!F58)))</f>
        <v/>
      </c>
      <c r="F58" s="12" t="str">
        <f aca="false">IF(Scores!$A58="","",IF(ISNA(MATCH(Scores!$A58,Baseline!$A$2:$A$61,0)),"new",IF(Scores!G58=INDEX(Baseline!G$2:G$61,MATCH(Scores!$A58,Baseline!$A$2:$A$61,0)),"",INDEX(Baseline!G$2:G$61,MATCH(Scores!$A58,Baseline!$A$2:$A$61,0))&amp;" to "&amp;Scores!G58)))</f>
        <v/>
      </c>
      <c r="G58" s="12" t="str">
        <f aca="false">IF(Scores!$A58="","",IF(ISNA(MATCH(Scores!$A58,Baseline!$A$2:$A$61,0)),"new",IF(Scores!H58=INDEX(Baseline!H$2:H$61,MATCH(Scores!$A58,Baseline!$A$2:$A$61,0)),"",INDEX(Baseline!H$2:H$61,MATCH(Scores!$A58,Baseline!$A$2:$A$61,0))&amp;" to "&amp;Scores!H58)))</f>
        <v/>
      </c>
      <c r="H58" s="12" t="str">
        <f aca="false">IF(Scores!$A58="","",IF(ISNA(MATCH(Scores!$A58,Baseline!$A$2:$A$61,0)),"new",IF(Scores!I58=INDEX(Baseline!I$2:I$61,MATCH(Scores!$A58,Baseline!$A$2:$A$61,0)),"",INDEX(Baseline!I$2:I$61,MATCH(Scores!$A58,Baseline!$A$2:$A$61,0))&amp;" to "&amp;Scores!I58)))</f>
        <v/>
      </c>
      <c r="I58" s="12" t="str">
        <f aca="false">IF(Scores!$A58="","",IF(ISNA(MATCH(Scores!$A58,Baseline!$A$2:$A$61,0)),"new",IF(Scores!J58=INDEX(Baseline!J$2:J$61,MATCH(Scores!$A58,Baseline!$A$2:$A$61,0)),"",INDEX(Baseline!J$2:J$61,MATCH(Scores!$A58,Baseline!$A$2:$A$61,0))&amp;" to "&amp;Scores!J58)))</f>
        <v/>
      </c>
      <c r="J58" s="12" t="str">
        <f aca="false">IF(Scores!$A58="","",IF(ISNA(MATCH(Scores!$A58,Baseline!$A$2:$A$61,0)),"new",IF(Scores!K58=INDEX(Baseline!K$2:K$61,MATCH(Scores!$A58,Baseline!$A$2:$A$61,0)),"",INDEX(Baseline!K$2:K$61,MATCH(Scores!$A58,Baseline!$A$2:$A$61,0))&amp;" to "&amp;Scores!K58)))</f>
        <v/>
      </c>
      <c r="K58" s="12" t="str">
        <f aca="false">IF(Scores!$A58="","",IF(ISNA(MATCH(Scores!$A58,Baseline!$A$2:$A$61,0)),"new",COUNTIF(B58:J58,"* to *")))</f>
        <v/>
      </c>
    </row>
    <row r="59" customFormat="false" ht="15" hidden="false" customHeight="false" outlineLevel="0" collapsed="false">
      <c r="A59" s="12" t="str">
        <f aca="false">IF(Scores!$A59="","",IF(ISNA(MATCH(Scores!$A59,Baseline!$A$2:$A$61,0)),Scores!A59&amp;" (new case)",Scores!A59))</f>
        <v/>
      </c>
      <c r="B59" s="12" t="str">
        <f aca="false">IF(Scores!$A59="","",IF(ISNA(MATCH(Scores!$A59,Baseline!$A$2:$A$61,0)),"new",IF(Scores!C59=INDEX(Baseline!C$2:C$61,MATCH(Scores!$A59,Baseline!$A$2:$A$61,0)),"",INDEX(Baseline!C$2:C$61,MATCH(Scores!$A59,Baseline!$A$2:$A$61,0))&amp;" to "&amp;Scores!C59)))</f>
        <v/>
      </c>
      <c r="C59" s="12" t="str">
        <f aca="false">IF(Scores!$A59="","",IF(ISNA(MATCH(Scores!$A59,Baseline!$A$2:$A$61,0)),"new",IF(Scores!D59=INDEX(Baseline!D$2:D$61,MATCH(Scores!$A59,Baseline!$A$2:$A$61,0)),"",INDEX(Baseline!D$2:D$61,MATCH(Scores!$A59,Baseline!$A$2:$A$61,0))&amp;" to "&amp;Scores!D59)))</f>
        <v/>
      </c>
      <c r="D59" s="12" t="str">
        <f aca="false">IF(Scores!$A59="","",IF(ISNA(MATCH(Scores!$A59,Baseline!$A$2:$A$61,0)),"new",IF(Scores!E59=INDEX(Baseline!E$2:E$61,MATCH(Scores!$A59,Baseline!$A$2:$A$61,0)),"",INDEX(Baseline!E$2:E$61,MATCH(Scores!$A59,Baseline!$A$2:$A$61,0))&amp;" to "&amp;Scores!E59)))</f>
        <v/>
      </c>
      <c r="E59" s="12" t="str">
        <f aca="false">IF(Scores!$A59="","",IF(ISNA(MATCH(Scores!$A59,Baseline!$A$2:$A$61,0)),"new",IF(Scores!F59=INDEX(Baseline!F$2:F$61,MATCH(Scores!$A59,Baseline!$A$2:$A$61,0)),"",INDEX(Baseline!F$2:F$61,MATCH(Scores!$A59,Baseline!$A$2:$A$61,0))&amp;" to "&amp;Scores!F59)))</f>
        <v/>
      </c>
      <c r="F59" s="12" t="str">
        <f aca="false">IF(Scores!$A59="","",IF(ISNA(MATCH(Scores!$A59,Baseline!$A$2:$A$61,0)),"new",IF(Scores!G59=INDEX(Baseline!G$2:G$61,MATCH(Scores!$A59,Baseline!$A$2:$A$61,0)),"",INDEX(Baseline!G$2:G$61,MATCH(Scores!$A59,Baseline!$A$2:$A$61,0))&amp;" to "&amp;Scores!G59)))</f>
        <v/>
      </c>
      <c r="G59" s="12" t="str">
        <f aca="false">IF(Scores!$A59="","",IF(ISNA(MATCH(Scores!$A59,Baseline!$A$2:$A$61,0)),"new",IF(Scores!H59=INDEX(Baseline!H$2:H$61,MATCH(Scores!$A59,Baseline!$A$2:$A$61,0)),"",INDEX(Baseline!H$2:H$61,MATCH(Scores!$A59,Baseline!$A$2:$A$61,0))&amp;" to "&amp;Scores!H59)))</f>
        <v/>
      </c>
      <c r="H59" s="12" t="str">
        <f aca="false">IF(Scores!$A59="","",IF(ISNA(MATCH(Scores!$A59,Baseline!$A$2:$A$61,0)),"new",IF(Scores!I59=INDEX(Baseline!I$2:I$61,MATCH(Scores!$A59,Baseline!$A$2:$A$61,0)),"",INDEX(Baseline!I$2:I$61,MATCH(Scores!$A59,Baseline!$A$2:$A$61,0))&amp;" to "&amp;Scores!I59)))</f>
        <v/>
      </c>
      <c r="I59" s="12" t="str">
        <f aca="false">IF(Scores!$A59="","",IF(ISNA(MATCH(Scores!$A59,Baseline!$A$2:$A$61,0)),"new",IF(Scores!J59=INDEX(Baseline!J$2:J$61,MATCH(Scores!$A59,Baseline!$A$2:$A$61,0)),"",INDEX(Baseline!J$2:J$61,MATCH(Scores!$A59,Baseline!$A$2:$A$61,0))&amp;" to "&amp;Scores!J59)))</f>
        <v/>
      </c>
      <c r="J59" s="12" t="str">
        <f aca="false">IF(Scores!$A59="","",IF(ISNA(MATCH(Scores!$A59,Baseline!$A$2:$A$61,0)),"new",IF(Scores!K59=INDEX(Baseline!K$2:K$61,MATCH(Scores!$A59,Baseline!$A$2:$A$61,0)),"",INDEX(Baseline!K$2:K$61,MATCH(Scores!$A59,Baseline!$A$2:$A$61,0))&amp;" to "&amp;Scores!K59)))</f>
        <v/>
      </c>
      <c r="K59" s="12" t="str">
        <f aca="false">IF(Scores!$A59="","",IF(ISNA(MATCH(Scores!$A59,Baseline!$A$2:$A$61,0)),"new",COUNTIF(B59:J59,"* to *")))</f>
        <v/>
      </c>
    </row>
    <row r="60" customFormat="false" ht="15" hidden="false" customHeight="false" outlineLevel="0" collapsed="false">
      <c r="A60" s="12" t="str">
        <f aca="false">IF(Scores!$A60="","",IF(ISNA(MATCH(Scores!$A60,Baseline!$A$2:$A$61,0)),Scores!A60&amp;" (new case)",Scores!A60))</f>
        <v/>
      </c>
      <c r="B60" s="12" t="str">
        <f aca="false">IF(Scores!$A60="","",IF(ISNA(MATCH(Scores!$A60,Baseline!$A$2:$A$61,0)),"new",IF(Scores!C60=INDEX(Baseline!C$2:C$61,MATCH(Scores!$A60,Baseline!$A$2:$A$61,0)),"",INDEX(Baseline!C$2:C$61,MATCH(Scores!$A60,Baseline!$A$2:$A$61,0))&amp;" to "&amp;Scores!C60)))</f>
        <v/>
      </c>
      <c r="C60" s="12" t="str">
        <f aca="false">IF(Scores!$A60="","",IF(ISNA(MATCH(Scores!$A60,Baseline!$A$2:$A$61,0)),"new",IF(Scores!D60=INDEX(Baseline!D$2:D$61,MATCH(Scores!$A60,Baseline!$A$2:$A$61,0)),"",INDEX(Baseline!D$2:D$61,MATCH(Scores!$A60,Baseline!$A$2:$A$61,0))&amp;" to "&amp;Scores!D60)))</f>
        <v/>
      </c>
      <c r="D60" s="12" t="str">
        <f aca="false">IF(Scores!$A60="","",IF(ISNA(MATCH(Scores!$A60,Baseline!$A$2:$A$61,0)),"new",IF(Scores!E60=INDEX(Baseline!E$2:E$61,MATCH(Scores!$A60,Baseline!$A$2:$A$61,0)),"",INDEX(Baseline!E$2:E$61,MATCH(Scores!$A60,Baseline!$A$2:$A$61,0))&amp;" to "&amp;Scores!E60)))</f>
        <v/>
      </c>
      <c r="E60" s="12" t="str">
        <f aca="false">IF(Scores!$A60="","",IF(ISNA(MATCH(Scores!$A60,Baseline!$A$2:$A$61,0)),"new",IF(Scores!F60=INDEX(Baseline!F$2:F$61,MATCH(Scores!$A60,Baseline!$A$2:$A$61,0)),"",INDEX(Baseline!F$2:F$61,MATCH(Scores!$A60,Baseline!$A$2:$A$61,0))&amp;" to "&amp;Scores!F60)))</f>
        <v/>
      </c>
      <c r="F60" s="12" t="str">
        <f aca="false">IF(Scores!$A60="","",IF(ISNA(MATCH(Scores!$A60,Baseline!$A$2:$A$61,0)),"new",IF(Scores!G60=INDEX(Baseline!G$2:G$61,MATCH(Scores!$A60,Baseline!$A$2:$A$61,0)),"",INDEX(Baseline!G$2:G$61,MATCH(Scores!$A60,Baseline!$A$2:$A$61,0))&amp;" to "&amp;Scores!G60)))</f>
        <v/>
      </c>
      <c r="G60" s="12" t="str">
        <f aca="false">IF(Scores!$A60="","",IF(ISNA(MATCH(Scores!$A60,Baseline!$A$2:$A$61,0)),"new",IF(Scores!H60=INDEX(Baseline!H$2:H$61,MATCH(Scores!$A60,Baseline!$A$2:$A$61,0)),"",INDEX(Baseline!H$2:H$61,MATCH(Scores!$A60,Baseline!$A$2:$A$61,0))&amp;" to "&amp;Scores!H60)))</f>
        <v/>
      </c>
      <c r="H60" s="12" t="str">
        <f aca="false">IF(Scores!$A60="","",IF(ISNA(MATCH(Scores!$A60,Baseline!$A$2:$A$61,0)),"new",IF(Scores!I60=INDEX(Baseline!I$2:I$61,MATCH(Scores!$A60,Baseline!$A$2:$A$61,0)),"",INDEX(Baseline!I$2:I$61,MATCH(Scores!$A60,Baseline!$A$2:$A$61,0))&amp;" to "&amp;Scores!I60)))</f>
        <v/>
      </c>
      <c r="I60" s="12" t="str">
        <f aca="false">IF(Scores!$A60="","",IF(ISNA(MATCH(Scores!$A60,Baseline!$A$2:$A$61,0)),"new",IF(Scores!J60=INDEX(Baseline!J$2:J$61,MATCH(Scores!$A60,Baseline!$A$2:$A$61,0)),"",INDEX(Baseline!J$2:J$61,MATCH(Scores!$A60,Baseline!$A$2:$A$61,0))&amp;" to "&amp;Scores!J60)))</f>
        <v/>
      </c>
      <c r="J60" s="12" t="str">
        <f aca="false">IF(Scores!$A60="","",IF(ISNA(MATCH(Scores!$A60,Baseline!$A$2:$A$61,0)),"new",IF(Scores!K60=INDEX(Baseline!K$2:K$61,MATCH(Scores!$A60,Baseline!$A$2:$A$61,0)),"",INDEX(Baseline!K$2:K$61,MATCH(Scores!$A60,Baseline!$A$2:$A$61,0))&amp;" to "&amp;Scores!K60)))</f>
        <v/>
      </c>
      <c r="K60" s="12" t="str">
        <f aca="false">IF(Scores!$A60="","",IF(ISNA(MATCH(Scores!$A60,Baseline!$A$2:$A$61,0)),"new",COUNTIF(B60:J60,"* to *")))</f>
        <v/>
      </c>
    </row>
    <row r="61" customFormat="false" ht="15" hidden="false" customHeight="false" outlineLevel="0" collapsed="false">
      <c r="A61" s="12" t="str">
        <f aca="false">IF(Scores!$A61="","",IF(ISNA(MATCH(Scores!$A61,Baseline!$A$2:$A$61,0)),Scores!A61&amp;" (new case)",Scores!A61))</f>
        <v/>
      </c>
      <c r="B61" s="12" t="str">
        <f aca="false">IF(Scores!$A61="","",IF(ISNA(MATCH(Scores!$A61,Baseline!$A$2:$A$61,0)),"new",IF(Scores!C61=INDEX(Baseline!C$2:C$61,MATCH(Scores!$A61,Baseline!$A$2:$A$61,0)),"",INDEX(Baseline!C$2:C$61,MATCH(Scores!$A61,Baseline!$A$2:$A$61,0))&amp;" to "&amp;Scores!C61)))</f>
        <v/>
      </c>
      <c r="C61" s="12" t="str">
        <f aca="false">IF(Scores!$A61="","",IF(ISNA(MATCH(Scores!$A61,Baseline!$A$2:$A$61,0)),"new",IF(Scores!D61=INDEX(Baseline!D$2:D$61,MATCH(Scores!$A61,Baseline!$A$2:$A$61,0)),"",INDEX(Baseline!D$2:D$61,MATCH(Scores!$A61,Baseline!$A$2:$A$61,0))&amp;" to "&amp;Scores!D61)))</f>
        <v/>
      </c>
      <c r="D61" s="12" t="str">
        <f aca="false">IF(Scores!$A61="","",IF(ISNA(MATCH(Scores!$A61,Baseline!$A$2:$A$61,0)),"new",IF(Scores!E61=INDEX(Baseline!E$2:E$61,MATCH(Scores!$A61,Baseline!$A$2:$A$61,0)),"",INDEX(Baseline!E$2:E$61,MATCH(Scores!$A61,Baseline!$A$2:$A$61,0))&amp;" to "&amp;Scores!E61)))</f>
        <v/>
      </c>
      <c r="E61" s="12" t="str">
        <f aca="false">IF(Scores!$A61="","",IF(ISNA(MATCH(Scores!$A61,Baseline!$A$2:$A$61,0)),"new",IF(Scores!F61=INDEX(Baseline!F$2:F$61,MATCH(Scores!$A61,Baseline!$A$2:$A$61,0)),"",INDEX(Baseline!F$2:F$61,MATCH(Scores!$A61,Baseline!$A$2:$A$61,0))&amp;" to "&amp;Scores!F61)))</f>
        <v/>
      </c>
      <c r="F61" s="12" t="str">
        <f aca="false">IF(Scores!$A61="","",IF(ISNA(MATCH(Scores!$A61,Baseline!$A$2:$A$61,0)),"new",IF(Scores!G61=INDEX(Baseline!G$2:G$61,MATCH(Scores!$A61,Baseline!$A$2:$A$61,0)),"",INDEX(Baseline!G$2:G$61,MATCH(Scores!$A61,Baseline!$A$2:$A$61,0))&amp;" to "&amp;Scores!G61)))</f>
        <v/>
      </c>
      <c r="G61" s="12" t="str">
        <f aca="false">IF(Scores!$A61="","",IF(ISNA(MATCH(Scores!$A61,Baseline!$A$2:$A$61,0)),"new",IF(Scores!H61=INDEX(Baseline!H$2:H$61,MATCH(Scores!$A61,Baseline!$A$2:$A$61,0)),"",INDEX(Baseline!H$2:H$61,MATCH(Scores!$A61,Baseline!$A$2:$A$61,0))&amp;" to "&amp;Scores!H61)))</f>
        <v/>
      </c>
      <c r="H61" s="12" t="str">
        <f aca="false">IF(Scores!$A61="","",IF(ISNA(MATCH(Scores!$A61,Baseline!$A$2:$A$61,0)),"new",IF(Scores!I61=INDEX(Baseline!I$2:I$61,MATCH(Scores!$A61,Baseline!$A$2:$A$61,0)),"",INDEX(Baseline!I$2:I$61,MATCH(Scores!$A61,Baseline!$A$2:$A$61,0))&amp;" to "&amp;Scores!I61)))</f>
        <v/>
      </c>
      <c r="I61" s="12" t="str">
        <f aca="false">IF(Scores!$A61="","",IF(ISNA(MATCH(Scores!$A61,Baseline!$A$2:$A$61,0)),"new",IF(Scores!J61=INDEX(Baseline!J$2:J$61,MATCH(Scores!$A61,Baseline!$A$2:$A$61,0)),"",INDEX(Baseline!J$2:J$61,MATCH(Scores!$A61,Baseline!$A$2:$A$61,0))&amp;" to "&amp;Scores!J61)))</f>
        <v/>
      </c>
      <c r="J61" s="12" t="str">
        <f aca="false">IF(Scores!$A61="","",IF(ISNA(MATCH(Scores!$A61,Baseline!$A$2:$A$61,0)),"new",IF(Scores!K61=INDEX(Baseline!K$2:K$61,MATCH(Scores!$A61,Baseline!$A$2:$A$61,0)),"",INDEX(Baseline!K$2:K$61,MATCH(Scores!$A61,Baseline!$A$2:$A$61,0))&amp;" to "&amp;Scores!K61)))</f>
        <v/>
      </c>
      <c r="K61" s="12" t="str">
        <f aca="false">IF(Scores!$A61="","",IF(ISNA(MATCH(Scores!$A61,Baseline!$A$2:$A$61,0)),"new",COUNTIF(B61:J61,"* to *")))</f>
        <v/>
      </c>
    </row>
    <row r="63" customFormat="false" ht="15" hidden="false" customHeight="false" outlineLevel="0" collapsed="false">
      <c r="A63" s="13" t="s">
        <v>125</v>
      </c>
      <c r="B63" s="13" t="n">
        <f aca="false">SUM(K2:K61)</f>
        <v>0</v>
      </c>
    </row>
    <row r="64" customFormat="false" ht="15" hidden="false" customHeight="false" outlineLevel="0" collapsed="false">
      <c r="A64" s="13" t="s">
        <v>126</v>
      </c>
      <c r="B64" s="13" t="n">
        <f aca="false">COUNTIF(K2:K61,"new")</f>
        <v>0</v>
      </c>
    </row>
    <row r="65" customFormat="false" ht="15" hidden="false" customHeight="false" outlineLevel="0" collapsed="false">
      <c r="A65" s="13" t="s">
        <v>127</v>
      </c>
      <c r="B65" s="13" t="n">
        <f aca="false">COUNTIF(K2:K61,"&gt;0")</f>
        <v>0</v>
      </c>
    </row>
    <row r="67" customFormat="false" ht="15" hidden="false" customHeight="false" outlineLevel="0" collapsed="false">
      <c r="A67" s="11"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8" min="2" style="0" width="8"/>
    <col collapsed="false" customWidth="true" hidden="false" outlineLevel="0" max="9" min="9" style="0" width="34"/>
  </cols>
  <sheetData>
    <row r="1" customFormat="false" ht="26.85" hidden="false" customHeight="false" outlineLevel="0" collapsed="false">
      <c r="A1" s="9" t="s">
        <v>34</v>
      </c>
      <c r="B1" s="9" t="s">
        <v>13</v>
      </c>
      <c r="C1" s="9" t="s">
        <v>15</v>
      </c>
      <c r="D1" s="9" t="s">
        <v>17</v>
      </c>
      <c r="E1" s="9" t="s">
        <v>19</v>
      </c>
      <c r="F1" s="9" t="s">
        <v>21</v>
      </c>
      <c r="G1" s="9" t="s">
        <v>23</v>
      </c>
      <c r="H1" s="9" t="s">
        <v>36</v>
      </c>
      <c r="I1" s="9" t="s">
        <v>129</v>
      </c>
    </row>
    <row r="2" customFormat="false" ht="15" hidden="false" customHeight="false" outlineLevel="0" collapsed="false">
      <c r="A2" s="12" t="str">
        <f aca="false">IF(Scores!$A2="","",Scores!A2)</f>
        <v>Zeno of Citium</v>
      </c>
      <c r="B2" s="12" t="n">
        <f aca="false">IF(Scores!$A2="","",IF(Scores!C2&gt;0.5,1,0))</f>
        <v>0</v>
      </c>
      <c r="C2" s="12" t="n">
        <f aca="false">IF(Scores!$A2="","",IF(Scores!D2&gt;0.5,1,0))</f>
        <v>0</v>
      </c>
      <c r="D2" s="12" t="n">
        <f aca="false">IF(Scores!$A2="","",IF(Scores!E2&gt;0.5,1,0))</f>
        <v>1</v>
      </c>
      <c r="E2" s="12" t="n">
        <f aca="false">IF(Scores!$A2="","",IF(Scores!F2&gt;0.5,1,0))</f>
        <v>1</v>
      </c>
      <c r="F2" s="12" t="n">
        <f aca="false">IF(Scores!$A2="","",IF(Scores!G2&gt;0.5,1,0))</f>
        <v>1</v>
      </c>
      <c r="G2" s="12" t="n">
        <f aca="false">IF(Scores!$A2="","",IF(Scores!H2&gt;0.5,1,0))</f>
        <v>0</v>
      </c>
      <c r="H2" s="12" t="n">
        <f aca="false">IF(Scores!$A2="","",IF(Scores!I2&gt;0.5,1,0))</f>
        <v>1</v>
      </c>
      <c r="I2" s="12" t="str">
        <f aca="false">IF(Scores!$A2="","",B2&amp;" "&amp;C2&amp;" "&amp;D2&amp;" "&amp;E2&amp;" "&amp;F2)</f>
        <v>0 0 1 1 1</v>
      </c>
    </row>
    <row r="3" customFormat="false" ht="15" hidden="false" customHeight="false" outlineLevel="0" collapsed="false">
      <c r="A3" s="12" t="str">
        <f aca="false">IF(Scores!$A3="","",Scores!A3)</f>
        <v>Cleanthes</v>
      </c>
      <c r="B3" s="12" t="n">
        <f aca="false">IF(Scores!$A3="","",IF(Scores!C3&gt;0.5,1,0))</f>
        <v>0</v>
      </c>
      <c r="C3" s="12" t="n">
        <f aca="false">IF(Scores!$A3="","",IF(Scores!D3&gt;0.5,1,0))</f>
        <v>0</v>
      </c>
      <c r="D3" s="12" t="n">
        <f aca="false">IF(Scores!$A3="","",IF(Scores!E3&gt;0.5,1,0))</f>
        <v>1</v>
      </c>
      <c r="E3" s="12" t="n">
        <f aca="false">IF(Scores!$A3="","",IF(Scores!F3&gt;0.5,1,0))</f>
        <v>1</v>
      </c>
      <c r="F3" s="12" t="n">
        <f aca="false">IF(Scores!$A3="","",IF(Scores!G3&gt;0.5,1,0))</f>
        <v>1</v>
      </c>
      <c r="G3" s="12" t="n">
        <f aca="false">IF(Scores!$A3="","",IF(Scores!H3&gt;0.5,1,0))</f>
        <v>0</v>
      </c>
      <c r="H3" s="12" t="n">
        <f aca="false">IF(Scores!$A3="","",IF(Scores!I3&gt;0.5,1,0))</f>
        <v>1</v>
      </c>
      <c r="I3" s="12" t="str">
        <f aca="false">IF(Scores!$A3="","",B3&amp;" "&amp;C3&amp;" "&amp;D3&amp;" "&amp;E3&amp;" "&amp;F3)</f>
        <v>0 0 1 1 1</v>
      </c>
    </row>
    <row r="4" customFormat="false" ht="15" hidden="false" customHeight="false" outlineLevel="0" collapsed="false">
      <c r="A4" s="12" t="str">
        <f aca="false">IF(Scores!$A4="","",Scores!A4)</f>
        <v>Chrysippus</v>
      </c>
      <c r="B4" s="12" t="n">
        <f aca="false">IF(Scores!$A4="","",IF(Scores!C4&gt;0.5,1,0))</f>
        <v>0</v>
      </c>
      <c r="C4" s="12" t="n">
        <f aca="false">IF(Scores!$A4="","",IF(Scores!D4&gt;0.5,1,0))</f>
        <v>0</v>
      </c>
      <c r="D4" s="12" t="n">
        <f aca="false">IF(Scores!$A4="","",IF(Scores!E4&gt;0.5,1,0))</f>
        <v>0</v>
      </c>
      <c r="E4" s="12" t="n">
        <f aca="false">IF(Scores!$A4="","",IF(Scores!F4&gt;0.5,1,0))</f>
        <v>1</v>
      </c>
      <c r="F4" s="12" t="n">
        <f aca="false">IF(Scores!$A4="","",IF(Scores!G4&gt;0.5,1,0))</f>
        <v>1</v>
      </c>
      <c r="G4" s="12" t="n">
        <f aca="false">IF(Scores!$A4="","",IF(Scores!H4&gt;0.5,1,0))</f>
        <v>0</v>
      </c>
      <c r="H4" s="12" t="n">
        <f aca="false">IF(Scores!$A4="","",IF(Scores!I4&gt;0.5,1,0))</f>
        <v>1</v>
      </c>
      <c r="I4" s="12" t="str">
        <f aca="false">IF(Scores!$A4="","",B4&amp;" "&amp;C4&amp;" "&amp;D4&amp;" "&amp;E4&amp;" "&amp;F4)</f>
        <v>0 0 0 1 1</v>
      </c>
    </row>
    <row r="5" customFormat="false" ht="15" hidden="false" customHeight="false" outlineLevel="0" collapsed="false">
      <c r="A5" s="12" t="str">
        <f aca="false">IF(Scores!$A5="","",Scores!A5)</f>
        <v>Diogenes of Babylon</v>
      </c>
      <c r="B5" s="12" t="n">
        <f aca="false">IF(Scores!$A5="","",IF(Scores!C5&gt;0.5,1,0))</f>
        <v>0</v>
      </c>
      <c r="C5" s="12" t="n">
        <f aca="false">IF(Scores!$A5="","",IF(Scores!D5&gt;0.5,1,0))</f>
        <v>0</v>
      </c>
      <c r="D5" s="12" t="n">
        <f aca="false">IF(Scores!$A5="","",IF(Scores!E5&gt;0.5,1,0))</f>
        <v>0</v>
      </c>
      <c r="E5" s="12" t="n">
        <f aca="false">IF(Scores!$A5="","",IF(Scores!F5&gt;0.5,1,0))</f>
        <v>1</v>
      </c>
      <c r="F5" s="12" t="n">
        <f aca="false">IF(Scores!$A5="","",IF(Scores!G5&gt;0.5,1,0))</f>
        <v>1</v>
      </c>
      <c r="G5" s="12" t="n">
        <f aca="false">IF(Scores!$A5="","",IF(Scores!H5&gt;0.5,1,0))</f>
        <v>0</v>
      </c>
      <c r="H5" s="12" t="n">
        <f aca="false">IF(Scores!$A5="","",IF(Scores!I5&gt;0.5,1,0))</f>
        <v>1</v>
      </c>
      <c r="I5" s="12" t="str">
        <f aca="false">IF(Scores!$A5="","",B5&amp;" "&amp;C5&amp;" "&amp;D5&amp;" "&amp;E5&amp;" "&amp;F5)</f>
        <v>0 0 0 1 1</v>
      </c>
    </row>
    <row r="6" customFormat="false" ht="15" hidden="false" customHeight="false" outlineLevel="0" collapsed="false">
      <c r="A6" s="12" t="str">
        <f aca="false">IF(Scores!$A6="","",Scores!A6)</f>
        <v>Panaetius</v>
      </c>
      <c r="B6" s="12" t="n">
        <f aca="false">IF(Scores!$A6="","",IF(Scores!C6&gt;0.5,1,0))</f>
        <v>0</v>
      </c>
      <c r="C6" s="12" t="n">
        <f aca="false">IF(Scores!$A6="","",IF(Scores!D6&gt;0.5,1,0))</f>
        <v>1</v>
      </c>
      <c r="D6" s="12" t="n">
        <f aca="false">IF(Scores!$A6="","",IF(Scores!E6&gt;0.5,1,0))</f>
        <v>0</v>
      </c>
      <c r="E6" s="12" t="n">
        <f aca="false">IF(Scores!$A6="","",IF(Scores!F6&gt;0.5,1,0))</f>
        <v>1</v>
      </c>
      <c r="F6" s="12" t="n">
        <f aca="false">IF(Scores!$A6="","",IF(Scores!G6&gt;0.5,1,0))</f>
        <v>1</v>
      </c>
      <c r="G6" s="12" t="n">
        <f aca="false">IF(Scores!$A6="","",IF(Scores!H6&gt;0.5,1,0))</f>
        <v>0</v>
      </c>
      <c r="H6" s="12" t="n">
        <f aca="false">IF(Scores!$A6="","",IF(Scores!I6&gt;0.5,1,0))</f>
        <v>1</v>
      </c>
      <c r="I6" s="12" t="str">
        <f aca="false">IF(Scores!$A6="","",B6&amp;" "&amp;C6&amp;" "&amp;D6&amp;" "&amp;E6&amp;" "&amp;F6)</f>
        <v>0 1 0 1 1</v>
      </c>
    </row>
    <row r="7" customFormat="false" ht="15" hidden="false" customHeight="false" outlineLevel="0" collapsed="false">
      <c r="A7" s="12" t="str">
        <f aca="false">IF(Scores!$A7="","",Scores!A7)</f>
        <v>Posidonius</v>
      </c>
      <c r="B7" s="12" t="n">
        <f aca="false">IF(Scores!$A7="","",IF(Scores!C7&gt;0.5,1,0))</f>
        <v>1</v>
      </c>
      <c r="C7" s="12" t="n">
        <f aca="false">IF(Scores!$A7="","",IF(Scores!D7&gt;0.5,1,0))</f>
        <v>1</v>
      </c>
      <c r="D7" s="12" t="n">
        <f aca="false">IF(Scores!$A7="","",IF(Scores!E7&gt;0.5,1,0))</f>
        <v>0</v>
      </c>
      <c r="E7" s="12" t="n">
        <f aca="false">IF(Scores!$A7="","",IF(Scores!F7&gt;0.5,1,0))</f>
        <v>1</v>
      </c>
      <c r="F7" s="12" t="n">
        <f aca="false">IF(Scores!$A7="","",IF(Scores!G7&gt;0.5,1,0))</f>
        <v>1</v>
      </c>
      <c r="G7" s="12" t="n">
        <f aca="false">IF(Scores!$A7="","",IF(Scores!H7&gt;0.5,1,0))</f>
        <v>0</v>
      </c>
      <c r="H7" s="12" t="n">
        <f aca="false">IF(Scores!$A7="","",IF(Scores!I7&gt;0.5,1,0))</f>
        <v>1</v>
      </c>
      <c r="I7" s="12" t="str">
        <f aca="false">IF(Scores!$A7="","",B7&amp;" "&amp;C7&amp;" "&amp;D7&amp;" "&amp;E7&amp;" "&amp;F7)</f>
        <v>1 1 0 1 1</v>
      </c>
    </row>
    <row r="8" customFormat="false" ht="15" hidden="false" customHeight="false" outlineLevel="0" collapsed="false">
      <c r="A8" s="12" t="str">
        <f aca="false">IF(Scores!$A8="","",Scores!A8)</f>
        <v>Athenodorus Cananites</v>
      </c>
      <c r="B8" s="12" t="n">
        <f aca="false">IF(Scores!$A8="","",IF(Scores!C8&gt;0.5,1,0))</f>
        <v>1</v>
      </c>
      <c r="C8" s="12" t="n">
        <f aca="false">IF(Scores!$A8="","",IF(Scores!D8&gt;0.5,1,0))</f>
        <v>1</v>
      </c>
      <c r="D8" s="12" t="n">
        <f aca="false">IF(Scores!$A8="","",IF(Scores!E8&gt;0.5,1,0))</f>
        <v>0</v>
      </c>
      <c r="E8" s="12" t="n">
        <f aca="false">IF(Scores!$A8="","",IF(Scores!F8&gt;0.5,1,0))</f>
        <v>1</v>
      </c>
      <c r="F8" s="12" t="n">
        <f aca="false">IF(Scores!$A8="","",IF(Scores!G8&gt;0.5,1,0))</f>
        <v>1</v>
      </c>
      <c r="G8" s="12" t="n">
        <f aca="false">IF(Scores!$A8="","",IF(Scores!H8&gt;0.5,1,0))</f>
        <v>1</v>
      </c>
      <c r="H8" s="12" t="n">
        <f aca="false">IF(Scores!$A8="","",IF(Scores!I8&gt;0.5,1,0))</f>
        <v>1</v>
      </c>
      <c r="I8" s="12" t="str">
        <f aca="false">IF(Scores!$A8="","",B8&amp;" "&amp;C8&amp;" "&amp;D8&amp;" "&amp;E8&amp;" "&amp;F8)</f>
        <v>1 1 0 1 1</v>
      </c>
    </row>
    <row r="9" customFormat="false" ht="15" hidden="false" customHeight="false" outlineLevel="0" collapsed="false">
      <c r="A9" s="12" t="str">
        <f aca="false">IF(Scores!$A9="","",Scores!A9)</f>
        <v>Dionysius the Renegade</v>
      </c>
      <c r="B9" s="12" t="n">
        <f aca="false">IF(Scores!$A9="","",IF(Scores!C9&gt;0.5,1,0))</f>
        <v>0</v>
      </c>
      <c r="C9" s="12" t="n">
        <f aca="false">IF(Scores!$A9="","",IF(Scores!D9&gt;0.5,1,0))</f>
        <v>0</v>
      </c>
      <c r="D9" s="12" t="n">
        <f aca="false">IF(Scores!$A9="","",IF(Scores!E9&gt;0.5,1,0))</f>
        <v>1</v>
      </c>
      <c r="E9" s="12" t="n">
        <f aca="false">IF(Scores!$A9="","",IF(Scores!F9&gt;0.5,1,0))</f>
        <v>1</v>
      </c>
      <c r="F9" s="12" t="n">
        <f aca="false">IF(Scores!$A9="","",IF(Scores!G9&gt;0.5,1,0))</f>
        <v>1</v>
      </c>
      <c r="G9" s="12" t="n">
        <f aca="false">IF(Scores!$A9="","",IF(Scores!H9&gt;0.5,1,0))</f>
        <v>0</v>
      </c>
      <c r="H9" s="12" t="n">
        <f aca="false">IF(Scores!$A9="","",IF(Scores!I9&gt;0.5,1,0))</f>
        <v>0</v>
      </c>
      <c r="I9" s="12" t="str">
        <f aca="false">IF(Scores!$A9="","",B9&amp;" "&amp;C9&amp;" "&amp;D9&amp;" "&amp;E9&amp;" "&amp;F9)</f>
        <v>0 0 1 1 1</v>
      </c>
    </row>
    <row r="10" customFormat="false" ht="15" hidden="false" customHeight="false" outlineLevel="0" collapsed="false">
      <c r="A10" s="12" t="str">
        <f aca="false">IF(Scores!$A10="","",Scores!A10)</f>
        <v>Egnatius Celer</v>
      </c>
      <c r="B10" s="12" t="n">
        <f aca="false">IF(Scores!$A10="","",IF(Scores!C10&gt;0.5,1,0))</f>
        <v>0</v>
      </c>
      <c r="C10" s="12" t="n">
        <f aca="false">IF(Scores!$A10="","",IF(Scores!D10&gt;0.5,1,0))</f>
        <v>0</v>
      </c>
      <c r="D10" s="12" t="n">
        <f aca="false">IF(Scores!$A10="","",IF(Scores!E10&gt;0.5,1,0))</f>
        <v>0</v>
      </c>
      <c r="E10" s="12" t="n">
        <f aca="false">IF(Scores!$A10="","",IF(Scores!F10&gt;0.5,1,0))</f>
        <v>0</v>
      </c>
      <c r="F10" s="12" t="n">
        <f aca="false">IF(Scores!$A10="","",IF(Scores!G10&gt;0.5,1,0))</f>
        <v>1</v>
      </c>
      <c r="G10" s="12" t="n">
        <f aca="false">IF(Scores!$A10="","",IF(Scores!H10&gt;0.5,1,0))</f>
        <v>0</v>
      </c>
      <c r="H10" s="12" t="n">
        <f aca="false">IF(Scores!$A10="","",IF(Scores!I10&gt;0.5,1,0))</f>
        <v>0</v>
      </c>
      <c r="I10" s="12" t="str">
        <f aca="false">IF(Scores!$A10="","",B10&amp;" "&amp;C10&amp;" "&amp;D10&amp;" "&amp;E10&amp;" "&amp;F10)</f>
        <v>0 0 0 0 1</v>
      </c>
    </row>
    <row r="11" customFormat="false" ht="15" hidden="false" customHeight="false" outlineLevel="0" collapsed="false">
      <c r="A11" s="12" t="str">
        <f aca="false">IF(Scores!$A11="","",Scores!A11)</f>
        <v>Musonius Rufus</v>
      </c>
      <c r="B11" s="12" t="n">
        <f aca="false">IF(Scores!$A11="","",IF(Scores!C11&gt;0.5,1,0))</f>
        <v>0</v>
      </c>
      <c r="C11" s="12" t="n">
        <f aca="false">IF(Scores!$A11="","",IF(Scores!D11&gt;0.5,1,0))</f>
        <v>1</v>
      </c>
      <c r="D11" s="12" t="n">
        <f aca="false">IF(Scores!$A11="","",IF(Scores!E11&gt;0.5,1,0))</f>
        <v>1</v>
      </c>
      <c r="E11" s="12" t="n">
        <f aca="false">IF(Scores!$A11="","",IF(Scores!F11&gt;0.5,1,0))</f>
        <v>0</v>
      </c>
      <c r="F11" s="12" t="n">
        <f aca="false">IF(Scores!$A11="","",IF(Scores!G11&gt;0.5,1,0))</f>
        <v>1</v>
      </c>
      <c r="G11" s="12" t="n">
        <f aca="false">IF(Scores!$A11="","",IF(Scores!H11&gt;0.5,1,0))</f>
        <v>0</v>
      </c>
      <c r="H11" s="12" t="n">
        <f aca="false">IF(Scores!$A11="","",IF(Scores!I11&gt;0.5,1,0))</f>
        <v>1</v>
      </c>
      <c r="I11" s="12" t="str">
        <f aca="false">IF(Scores!$A11="","",B11&amp;" "&amp;C11&amp;" "&amp;D11&amp;" "&amp;E11&amp;" "&amp;F11)</f>
        <v>0 1 1 0 1</v>
      </c>
    </row>
    <row r="12" customFormat="false" ht="15" hidden="false" customHeight="false" outlineLevel="0" collapsed="false">
      <c r="A12" s="12" t="str">
        <f aca="false">IF(Scores!$A12="","",Scores!A12)</f>
        <v>Epictetus</v>
      </c>
      <c r="B12" s="12" t="n">
        <f aca="false">IF(Scores!$A12="","",IF(Scores!C12&gt;0.5,1,0))</f>
        <v>0</v>
      </c>
      <c r="C12" s="12" t="n">
        <f aca="false">IF(Scores!$A12="","",IF(Scores!D12&gt;0.5,1,0))</f>
        <v>0</v>
      </c>
      <c r="D12" s="12" t="n">
        <f aca="false">IF(Scores!$A12="","",IF(Scores!E12&gt;0.5,1,0))</f>
        <v>1</v>
      </c>
      <c r="E12" s="12" t="n">
        <f aca="false">IF(Scores!$A12="","",IF(Scores!F12&gt;0.5,1,0))</f>
        <v>1</v>
      </c>
      <c r="F12" s="12" t="n">
        <f aca="false">IF(Scores!$A12="","",IF(Scores!G12&gt;0.5,1,0))</f>
        <v>1</v>
      </c>
      <c r="G12" s="12" t="n">
        <f aca="false">IF(Scores!$A12="","",IF(Scores!H12&gt;0.5,1,0))</f>
        <v>0</v>
      </c>
      <c r="H12" s="12" t="n">
        <f aca="false">IF(Scores!$A12="","",IF(Scores!I12&gt;0.5,1,0))</f>
        <v>1</v>
      </c>
      <c r="I12" s="12" t="str">
        <f aca="false">IF(Scores!$A12="","",B12&amp;" "&amp;C12&amp;" "&amp;D12&amp;" "&amp;E12&amp;" "&amp;F12)</f>
        <v>0 0 1 1 1</v>
      </c>
    </row>
    <row r="13" customFormat="false" ht="15" hidden="false" customHeight="false" outlineLevel="0" collapsed="false">
      <c r="A13" s="12" t="str">
        <f aca="false">IF(Scores!$A13="","",Scores!A13)</f>
        <v>Persaeus</v>
      </c>
      <c r="B13" s="12" t="n">
        <f aca="false">IF(Scores!$A13="","",IF(Scores!C13&gt;0.5,1,0))</f>
        <v>1</v>
      </c>
      <c r="C13" s="12" t="n">
        <f aca="false">IF(Scores!$A13="","",IF(Scores!D13&gt;0.5,1,0))</f>
        <v>1</v>
      </c>
      <c r="D13" s="12" t="n">
        <f aca="false">IF(Scores!$A13="","",IF(Scores!E13&gt;0.5,1,0))</f>
        <v>1</v>
      </c>
      <c r="E13" s="12" t="n">
        <f aca="false">IF(Scores!$A13="","",IF(Scores!F13&gt;0.5,1,0))</f>
        <v>1</v>
      </c>
      <c r="F13" s="12" t="n">
        <f aca="false">IF(Scores!$A13="","",IF(Scores!G13&gt;0.5,1,0))</f>
        <v>0</v>
      </c>
      <c r="G13" s="12" t="n">
        <f aca="false">IF(Scores!$A13="","",IF(Scores!H13&gt;0.5,1,0))</f>
        <v>1</v>
      </c>
      <c r="H13" s="12" t="n">
        <f aca="false">IF(Scores!$A13="","",IF(Scores!I13&gt;0.5,1,0))</f>
        <v>0</v>
      </c>
      <c r="I13" s="12" t="str">
        <f aca="false">IF(Scores!$A13="","",B13&amp;" "&amp;C13&amp;" "&amp;D13&amp;" "&amp;E13&amp;" "&amp;F13)</f>
        <v>1 1 1 1 0</v>
      </c>
    </row>
    <row r="14" customFormat="false" ht="15" hidden="false" customHeight="false" outlineLevel="0" collapsed="false">
      <c r="A14" s="12" t="str">
        <f aca="false">IF(Scores!$A14="","",Scores!A14)</f>
        <v>Rutilius Rufus</v>
      </c>
      <c r="B14" s="12" t="n">
        <f aca="false">IF(Scores!$A14="","",IF(Scores!C14&gt;0.5,1,0))</f>
        <v>1</v>
      </c>
      <c r="C14" s="12" t="n">
        <f aca="false">IF(Scores!$A14="","",IF(Scores!D14&gt;0.5,1,0))</f>
        <v>1</v>
      </c>
      <c r="D14" s="12" t="n">
        <f aca="false">IF(Scores!$A14="","",IF(Scores!E14&gt;0.5,1,0))</f>
        <v>1</v>
      </c>
      <c r="E14" s="12" t="n">
        <f aca="false">IF(Scores!$A14="","",IF(Scores!F14&gt;0.5,1,0))</f>
        <v>1</v>
      </c>
      <c r="F14" s="12" t="n">
        <f aca="false">IF(Scores!$A14="","",IF(Scores!G14&gt;0.5,1,0))</f>
        <v>0</v>
      </c>
      <c r="G14" s="12" t="n">
        <f aca="false">IF(Scores!$A14="","",IF(Scores!H14&gt;0.5,1,0))</f>
        <v>0</v>
      </c>
      <c r="H14" s="12" t="n">
        <f aca="false">IF(Scores!$A14="","",IF(Scores!I14&gt;0.5,1,0))</f>
        <v>1</v>
      </c>
      <c r="I14" s="12" t="str">
        <f aca="false">IF(Scores!$A14="","",B14&amp;" "&amp;C14&amp;" "&amp;D14&amp;" "&amp;E14&amp;" "&amp;F14)</f>
        <v>1 1 1 1 0</v>
      </c>
    </row>
    <row r="15" customFormat="false" ht="15" hidden="false" customHeight="false" outlineLevel="0" collapsed="false">
      <c r="A15" s="12" t="str">
        <f aca="false">IF(Scores!$A15="","",Scores!A15)</f>
        <v>Cato the Younger</v>
      </c>
      <c r="B15" s="12" t="n">
        <f aca="false">IF(Scores!$A15="","",IF(Scores!C15&gt;0.5,1,0))</f>
        <v>1</v>
      </c>
      <c r="C15" s="12" t="n">
        <f aca="false">IF(Scores!$A15="","",IF(Scores!D15&gt;0.5,1,0))</f>
        <v>1</v>
      </c>
      <c r="D15" s="12" t="n">
        <f aca="false">IF(Scores!$A15="","",IF(Scores!E15&gt;0.5,1,0))</f>
        <v>1</v>
      </c>
      <c r="E15" s="12" t="n">
        <f aca="false">IF(Scores!$A15="","",IF(Scores!F15&gt;0.5,1,0))</f>
        <v>1</v>
      </c>
      <c r="F15" s="12" t="n">
        <f aca="false">IF(Scores!$A15="","",IF(Scores!G15&gt;0.5,1,0))</f>
        <v>0</v>
      </c>
      <c r="G15" s="12" t="n">
        <f aca="false">IF(Scores!$A15="","",IF(Scores!H15&gt;0.5,1,0))</f>
        <v>0</v>
      </c>
      <c r="H15" s="12" t="n">
        <f aca="false">IF(Scores!$A15="","",IF(Scores!I15&gt;0.5,1,0))</f>
        <v>1</v>
      </c>
      <c r="I15" s="12" t="str">
        <f aca="false">IF(Scores!$A15="","",B15&amp;" "&amp;C15&amp;" "&amp;D15&amp;" "&amp;E15&amp;" "&amp;F15)</f>
        <v>1 1 1 1 0</v>
      </c>
    </row>
    <row r="16" customFormat="false" ht="15" hidden="false" customHeight="false" outlineLevel="0" collapsed="false">
      <c r="A16" s="12" t="str">
        <f aca="false">IF(Scores!$A16="","",Scores!A16)</f>
        <v>Seneca</v>
      </c>
      <c r="B16" s="12" t="n">
        <f aca="false">IF(Scores!$A16="","",IF(Scores!C16&gt;0.5,1,0))</f>
        <v>1</v>
      </c>
      <c r="C16" s="12" t="n">
        <f aca="false">IF(Scores!$A16="","",IF(Scores!D16&gt;0.5,1,0))</f>
        <v>1</v>
      </c>
      <c r="D16" s="12" t="n">
        <f aca="false">IF(Scores!$A16="","",IF(Scores!E16&gt;0.5,1,0))</f>
        <v>1</v>
      </c>
      <c r="E16" s="12" t="n">
        <f aca="false">IF(Scores!$A16="","",IF(Scores!F16&gt;0.5,1,0))</f>
        <v>1</v>
      </c>
      <c r="F16" s="12" t="n">
        <f aca="false">IF(Scores!$A16="","",IF(Scores!G16&gt;0.5,1,0))</f>
        <v>0</v>
      </c>
      <c r="G16" s="12" t="n">
        <f aca="false">IF(Scores!$A16="","",IF(Scores!H16&gt;0.5,1,0))</f>
        <v>1</v>
      </c>
      <c r="H16" s="12" t="n">
        <f aca="false">IF(Scores!$A16="","",IF(Scores!I16&gt;0.5,1,0))</f>
        <v>0</v>
      </c>
      <c r="I16" s="12" t="str">
        <f aca="false">IF(Scores!$A16="","",B16&amp;" "&amp;C16&amp;" "&amp;D16&amp;" "&amp;E16&amp;" "&amp;F16)</f>
        <v>1 1 1 1 0</v>
      </c>
    </row>
    <row r="17" customFormat="false" ht="15" hidden="false" customHeight="false" outlineLevel="0" collapsed="false">
      <c r="A17" s="12" t="str">
        <f aca="false">IF(Scores!$A17="","",Scores!A17)</f>
        <v>Thrasea Paetus</v>
      </c>
      <c r="B17" s="12" t="n">
        <f aca="false">IF(Scores!$A17="","",IF(Scores!C17&gt;0.5,1,0))</f>
        <v>1</v>
      </c>
      <c r="C17" s="12" t="n">
        <f aca="false">IF(Scores!$A17="","",IF(Scores!D17&gt;0.5,1,0))</f>
        <v>1</v>
      </c>
      <c r="D17" s="12" t="n">
        <f aca="false">IF(Scores!$A17="","",IF(Scores!E17&gt;0.5,1,0))</f>
        <v>1</v>
      </c>
      <c r="E17" s="12" t="n">
        <f aca="false">IF(Scores!$A17="","",IF(Scores!F17&gt;0.5,1,0))</f>
        <v>0</v>
      </c>
      <c r="F17" s="12" t="n">
        <f aca="false">IF(Scores!$A17="","",IF(Scores!G17&gt;0.5,1,0))</f>
        <v>0</v>
      </c>
      <c r="G17" s="12" t="n">
        <f aca="false">IF(Scores!$A17="","",IF(Scores!H17&gt;0.5,1,0))</f>
        <v>0</v>
      </c>
      <c r="H17" s="12" t="n">
        <f aca="false">IF(Scores!$A17="","",IF(Scores!I17&gt;0.5,1,0))</f>
        <v>1</v>
      </c>
      <c r="I17" s="12" t="str">
        <f aca="false">IF(Scores!$A17="","",B17&amp;" "&amp;C17&amp;" "&amp;D17&amp;" "&amp;E17&amp;" "&amp;F17)</f>
        <v>1 1 1 0 0</v>
      </c>
    </row>
    <row r="18" customFormat="false" ht="15" hidden="false" customHeight="false" outlineLevel="0" collapsed="false">
      <c r="A18" s="12" t="str">
        <f aca="false">IF(Scores!$A18="","",Scores!A18)</f>
        <v>Helvidius Priscus</v>
      </c>
      <c r="B18" s="12" t="n">
        <f aca="false">IF(Scores!$A18="","",IF(Scores!C18&gt;0.5,1,0))</f>
        <v>1</v>
      </c>
      <c r="C18" s="12" t="n">
        <f aca="false">IF(Scores!$A18="","",IF(Scores!D18&gt;0.5,1,0))</f>
        <v>1</v>
      </c>
      <c r="D18" s="12" t="n">
        <f aca="false">IF(Scores!$A18="","",IF(Scores!E18&gt;0.5,1,0))</f>
        <v>1</v>
      </c>
      <c r="E18" s="12" t="n">
        <f aca="false">IF(Scores!$A18="","",IF(Scores!F18&gt;0.5,1,0))</f>
        <v>0</v>
      </c>
      <c r="F18" s="12" t="n">
        <f aca="false">IF(Scores!$A18="","",IF(Scores!G18&gt;0.5,1,0))</f>
        <v>0</v>
      </c>
      <c r="G18" s="12" t="n">
        <f aca="false">IF(Scores!$A18="","",IF(Scores!H18&gt;0.5,1,0))</f>
        <v>0</v>
      </c>
      <c r="H18" s="12" t="n">
        <f aca="false">IF(Scores!$A18="","",IF(Scores!I18&gt;0.5,1,0))</f>
        <v>1</v>
      </c>
      <c r="I18" s="12" t="str">
        <f aca="false">IF(Scores!$A18="","",B18&amp;" "&amp;C18&amp;" "&amp;D18&amp;" "&amp;E18&amp;" "&amp;F18)</f>
        <v>1 1 1 0 0</v>
      </c>
    </row>
    <row r="19" customFormat="false" ht="15" hidden="false" customHeight="false" outlineLevel="0" collapsed="false">
      <c r="A19" s="12" t="str">
        <f aca="false">IF(Scores!$A19="","",Scores!A19)</f>
        <v>Marcus Aurelius</v>
      </c>
      <c r="B19" s="12" t="n">
        <f aca="false">IF(Scores!$A19="","",IF(Scores!C19&gt;0.5,1,0))</f>
        <v>1</v>
      </c>
      <c r="C19" s="12" t="n">
        <f aca="false">IF(Scores!$A19="","",IF(Scores!D19&gt;0.5,1,0))</f>
        <v>1</v>
      </c>
      <c r="D19" s="12" t="n">
        <f aca="false">IF(Scores!$A19="","",IF(Scores!E19&gt;0.5,1,0))</f>
        <v>1</v>
      </c>
      <c r="E19" s="12" t="n">
        <f aca="false">IF(Scores!$A19="","",IF(Scores!F19&gt;0.5,1,0))</f>
        <v>1</v>
      </c>
      <c r="F19" s="12" t="n">
        <f aca="false">IF(Scores!$A19="","",IF(Scores!G19&gt;0.5,1,0))</f>
        <v>0</v>
      </c>
      <c r="G19" s="12" t="n">
        <f aca="false">IF(Scores!$A19="","",IF(Scores!H19&gt;0.5,1,0))</f>
        <v>0</v>
      </c>
      <c r="H19" s="12" t="n">
        <f aca="false">IF(Scores!$A19="","",IF(Scores!I19&gt;0.5,1,0))</f>
        <v>1</v>
      </c>
      <c r="I19" s="12" t="str">
        <f aca="false">IF(Scores!$A19="","",B19&amp;" "&amp;C19&amp;" "&amp;D19&amp;" "&amp;E19&amp;" "&amp;F19)</f>
        <v>1 1 1 1 0</v>
      </c>
    </row>
    <row r="20" customFormat="false" ht="15" hidden="false" customHeight="false" outlineLevel="0" collapsed="false">
      <c r="A20" s="12" t="str">
        <f aca="false">IF(Scores!$A20="","",Scores!A20)</f>
        <v/>
      </c>
      <c r="B20" s="12" t="str">
        <f aca="false">IF(Scores!$A20="","",IF(Scores!C20&gt;0.5,1,0))</f>
        <v/>
      </c>
      <c r="C20" s="12" t="str">
        <f aca="false">IF(Scores!$A20="","",IF(Scores!D20&gt;0.5,1,0))</f>
        <v/>
      </c>
      <c r="D20" s="12" t="str">
        <f aca="false">IF(Scores!$A20="","",IF(Scores!E20&gt;0.5,1,0))</f>
        <v/>
      </c>
      <c r="E20" s="12" t="str">
        <f aca="false">IF(Scores!$A20="","",IF(Scores!F20&gt;0.5,1,0))</f>
        <v/>
      </c>
      <c r="F20" s="12" t="str">
        <f aca="false">IF(Scores!$A20="","",IF(Scores!G20&gt;0.5,1,0))</f>
        <v/>
      </c>
      <c r="G20" s="12" t="str">
        <f aca="false">IF(Scores!$A20="","",IF(Scores!H20&gt;0.5,1,0))</f>
        <v/>
      </c>
      <c r="H20" s="12" t="str">
        <f aca="false">IF(Scores!$A20="","",IF(Scores!I20&gt;0.5,1,0))</f>
        <v/>
      </c>
      <c r="I20" s="12" t="str">
        <f aca="false">IF(Scores!$A20="","",B20&amp;" "&amp;C20&amp;" "&amp;D20&amp;" "&amp;E20&amp;" "&amp;F20)</f>
        <v/>
      </c>
    </row>
    <row r="21" customFormat="false" ht="15" hidden="false" customHeight="false" outlineLevel="0" collapsed="false">
      <c r="A21" s="12" t="str">
        <f aca="false">IF(Scores!$A21="","",Scores!A21)</f>
        <v/>
      </c>
      <c r="B21" s="12" t="str">
        <f aca="false">IF(Scores!$A21="","",IF(Scores!C21&gt;0.5,1,0))</f>
        <v/>
      </c>
      <c r="C21" s="12" t="str">
        <f aca="false">IF(Scores!$A21="","",IF(Scores!D21&gt;0.5,1,0))</f>
        <v/>
      </c>
      <c r="D21" s="12" t="str">
        <f aca="false">IF(Scores!$A21="","",IF(Scores!E21&gt;0.5,1,0))</f>
        <v/>
      </c>
      <c r="E21" s="12" t="str">
        <f aca="false">IF(Scores!$A21="","",IF(Scores!F21&gt;0.5,1,0))</f>
        <v/>
      </c>
      <c r="F21" s="12" t="str">
        <f aca="false">IF(Scores!$A21="","",IF(Scores!G21&gt;0.5,1,0))</f>
        <v/>
      </c>
      <c r="G21" s="12" t="str">
        <f aca="false">IF(Scores!$A21="","",IF(Scores!H21&gt;0.5,1,0))</f>
        <v/>
      </c>
      <c r="H21" s="12" t="str">
        <f aca="false">IF(Scores!$A21="","",IF(Scores!I21&gt;0.5,1,0))</f>
        <v/>
      </c>
      <c r="I21" s="12" t="str">
        <f aca="false">IF(Scores!$A21="","",B21&amp;" "&amp;C21&amp;" "&amp;D21&amp;" "&amp;E21&amp;" "&amp;F21)</f>
        <v/>
      </c>
    </row>
    <row r="22" customFormat="false" ht="15" hidden="false" customHeight="false" outlineLevel="0" collapsed="false">
      <c r="A22" s="12" t="str">
        <f aca="false">IF(Scores!$A22="","",Scores!A22)</f>
        <v/>
      </c>
      <c r="B22" s="12" t="str">
        <f aca="false">IF(Scores!$A22="","",IF(Scores!C22&gt;0.5,1,0))</f>
        <v/>
      </c>
      <c r="C22" s="12" t="str">
        <f aca="false">IF(Scores!$A22="","",IF(Scores!D22&gt;0.5,1,0))</f>
        <v/>
      </c>
      <c r="D22" s="12" t="str">
        <f aca="false">IF(Scores!$A22="","",IF(Scores!E22&gt;0.5,1,0))</f>
        <v/>
      </c>
      <c r="E22" s="12" t="str">
        <f aca="false">IF(Scores!$A22="","",IF(Scores!F22&gt;0.5,1,0))</f>
        <v/>
      </c>
      <c r="F22" s="12" t="str">
        <f aca="false">IF(Scores!$A22="","",IF(Scores!G22&gt;0.5,1,0))</f>
        <v/>
      </c>
      <c r="G22" s="12" t="str">
        <f aca="false">IF(Scores!$A22="","",IF(Scores!H22&gt;0.5,1,0))</f>
        <v/>
      </c>
      <c r="H22" s="12" t="str">
        <f aca="false">IF(Scores!$A22="","",IF(Scores!I22&gt;0.5,1,0))</f>
        <v/>
      </c>
      <c r="I22" s="12" t="str">
        <f aca="false">IF(Scores!$A22="","",B22&amp;" "&amp;C22&amp;" "&amp;D22&amp;" "&amp;E22&amp;" "&amp;F22)</f>
        <v/>
      </c>
    </row>
    <row r="23" customFormat="false" ht="15" hidden="false" customHeight="false" outlineLevel="0" collapsed="false">
      <c r="A23" s="12" t="str">
        <f aca="false">IF(Scores!$A23="","",Scores!A23)</f>
        <v/>
      </c>
      <c r="B23" s="12" t="str">
        <f aca="false">IF(Scores!$A23="","",IF(Scores!C23&gt;0.5,1,0))</f>
        <v/>
      </c>
      <c r="C23" s="12" t="str">
        <f aca="false">IF(Scores!$A23="","",IF(Scores!D23&gt;0.5,1,0))</f>
        <v/>
      </c>
      <c r="D23" s="12" t="str">
        <f aca="false">IF(Scores!$A23="","",IF(Scores!E23&gt;0.5,1,0))</f>
        <v/>
      </c>
      <c r="E23" s="12" t="str">
        <f aca="false">IF(Scores!$A23="","",IF(Scores!F23&gt;0.5,1,0))</f>
        <v/>
      </c>
      <c r="F23" s="12" t="str">
        <f aca="false">IF(Scores!$A23="","",IF(Scores!G23&gt;0.5,1,0))</f>
        <v/>
      </c>
      <c r="G23" s="12" t="str">
        <f aca="false">IF(Scores!$A23="","",IF(Scores!H23&gt;0.5,1,0))</f>
        <v/>
      </c>
      <c r="H23" s="12" t="str">
        <f aca="false">IF(Scores!$A23="","",IF(Scores!I23&gt;0.5,1,0))</f>
        <v/>
      </c>
      <c r="I23" s="12" t="str">
        <f aca="false">IF(Scores!$A23="","",B23&amp;" "&amp;C23&amp;" "&amp;D23&amp;" "&amp;E23&amp;" "&amp;F23)</f>
        <v/>
      </c>
    </row>
    <row r="24" customFormat="false" ht="15" hidden="false" customHeight="false" outlineLevel="0" collapsed="false">
      <c r="A24" s="12" t="str">
        <f aca="false">IF(Scores!$A24="","",Scores!A24)</f>
        <v/>
      </c>
      <c r="B24" s="12" t="str">
        <f aca="false">IF(Scores!$A24="","",IF(Scores!C24&gt;0.5,1,0))</f>
        <v/>
      </c>
      <c r="C24" s="12" t="str">
        <f aca="false">IF(Scores!$A24="","",IF(Scores!D24&gt;0.5,1,0))</f>
        <v/>
      </c>
      <c r="D24" s="12" t="str">
        <f aca="false">IF(Scores!$A24="","",IF(Scores!E24&gt;0.5,1,0))</f>
        <v/>
      </c>
      <c r="E24" s="12" t="str">
        <f aca="false">IF(Scores!$A24="","",IF(Scores!F24&gt;0.5,1,0))</f>
        <v/>
      </c>
      <c r="F24" s="12" t="str">
        <f aca="false">IF(Scores!$A24="","",IF(Scores!G24&gt;0.5,1,0))</f>
        <v/>
      </c>
      <c r="G24" s="12" t="str">
        <f aca="false">IF(Scores!$A24="","",IF(Scores!H24&gt;0.5,1,0))</f>
        <v/>
      </c>
      <c r="H24" s="12" t="str">
        <f aca="false">IF(Scores!$A24="","",IF(Scores!I24&gt;0.5,1,0))</f>
        <v/>
      </c>
      <c r="I24" s="12" t="str">
        <f aca="false">IF(Scores!$A24="","",B24&amp;" "&amp;C24&amp;" "&amp;D24&amp;" "&amp;E24&amp;" "&amp;F24)</f>
        <v/>
      </c>
    </row>
    <row r="25" customFormat="false" ht="15" hidden="false" customHeight="false" outlineLevel="0" collapsed="false">
      <c r="A25" s="12" t="str">
        <f aca="false">IF(Scores!$A25="","",Scores!A25)</f>
        <v/>
      </c>
      <c r="B25" s="12" t="str">
        <f aca="false">IF(Scores!$A25="","",IF(Scores!C25&gt;0.5,1,0))</f>
        <v/>
      </c>
      <c r="C25" s="12" t="str">
        <f aca="false">IF(Scores!$A25="","",IF(Scores!D25&gt;0.5,1,0))</f>
        <v/>
      </c>
      <c r="D25" s="12" t="str">
        <f aca="false">IF(Scores!$A25="","",IF(Scores!E25&gt;0.5,1,0))</f>
        <v/>
      </c>
      <c r="E25" s="12" t="str">
        <f aca="false">IF(Scores!$A25="","",IF(Scores!F25&gt;0.5,1,0))</f>
        <v/>
      </c>
      <c r="F25" s="12" t="str">
        <f aca="false">IF(Scores!$A25="","",IF(Scores!G25&gt;0.5,1,0))</f>
        <v/>
      </c>
      <c r="G25" s="12" t="str">
        <f aca="false">IF(Scores!$A25="","",IF(Scores!H25&gt;0.5,1,0))</f>
        <v/>
      </c>
      <c r="H25" s="12" t="str">
        <f aca="false">IF(Scores!$A25="","",IF(Scores!I25&gt;0.5,1,0))</f>
        <v/>
      </c>
      <c r="I25" s="12" t="str">
        <f aca="false">IF(Scores!$A25="","",B25&amp;" "&amp;C25&amp;" "&amp;D25&amp;" "&amp;E25&amp;" "&amp;F25)</f>
        <v/>
      </c>
    </row>
    <row r="26" customFormat="false" ht="15" hidden="false" customHeight="false" outlineLevel="0" collapsed="false">
      <c r="A26" s="12" t="str">
        <f aca="false">IF(Scores!$A26="","",Scores!A26)</f>
        <v/>
      </c>
      <c r="B26" s="12" t="str">
        <f aca="false">IF(Scores!$A26="","",IF(Scores!C26&gt;0.5,1,0))</f>
        <v/>
      </c>
      <c r="C26" s="12" t="str">
        <f aca="false">IF(Scores!$A26="","",IF(Scores!D26&gt;0.5,1,0))</f>
        <v/>
      </c>
      <c r="D26" s="12" t="str">
        <f aca="false">IF(Scores!$A26="","",IF(Scores!E26&gt;0.5,1,0))</f>
        <v/>
      </c>
      <c r="E26" s="12" t="str">
        <f aca="false">IF(Scores!$A26="","",IF(Scores!F26&gt;0.5,1,0))</f>
        <v/>
      </c>
      <c r="F26" s="12" t="str">
        <f aca="false">IF(Scores!$A26="","",IF(Scores!G26&gt;0.5,1,0))</f>
        <v/>
      </c>
      <c r="G26" s="12" t="str">
        <f aca="false">IF(Scores!$A26="","",IF(Scores!H26&gt;0.5,1,0))</f>
        <v/>
      </c>
      <c r="H26" s="12" t="str">
        <f aca="false">IF(Scores!$A26="","",IF(Scores!I26&gt;0.5,1,0))</f>
        <v/>
      </c>
      <c r="I26" s="12" t="str">
        <f aca="false">IF(Scores!$A26="","",B26&amp;" "&amp;C26&amp;" "&amp;D26&amp;" "&amp;E26&amp;" "&amp;F26)</f>
        <v/>
      </c>
    </row>
    <row r="27" customFormat="false" ht="15" hidden="false" customHeight="false" outlineLevel="0" collapsed="false">
      <c r="A27" s="12" t="str">
        <f aca="false">IF(Scores!$A27="","",Scores!A27)</f>
        <v/>
      </c>
      <c r="B27" s="12" t="str">
        <f aca="false">IF(Scores!$A27="","",IF(Scores!C27&gt;0.5,1,0))</f>
        <v/>
      </c>
      <c r="C27" s="12" t="str">
        <f aca="false">IF(Scores!$A27="","",IF(Scores!D27&gt;0.5,1,0))</f>
        <v/>
      </c>
      <c r="D27" s="12" t="str">
        <f aca="false">IF(Scores!$A27="","",IF(Scores!E27&gt;0.5,1,0))</f>
        <v/>
      </c>
      <c r="E27" s="12" t="str">
        <f aca="false">IF(Scores!$A27="","",IF(Scores!F27&gt;0.5,1,0))</f>
        <v/>
      </c>
      <c r="F27" s="12" t="str">
        <f aca="false">IF(Scores!$A27="","",IF(Scores!G27&gt;0.5,1,0))</f>
        <v/>
      </c>
      <c r="G27" s="12" t="str">
        <f aca="false">IF(Scores!$A27="","",IF(Scores!H27&gt;0.5,1,0))</f>
        <v/>
      </c>
      <c r="H27" s="12" t="str">
        <f aca="false">IF(Scores!$A27="","",IF(Scores!I27&gt;0.5,1,0))</f>
        <v/>
      </c>
      <c r="I27" s="12" t="str">
        <f aca="false">IF(Scores!$A27="","",B27&amp;" "&amp;C27&amp;" "&amp;D27&amp;" "&amp;E27&amp;" "&amp;F27)</f>
        <v/>
      </c>
    </row>
    <row r="28" customFormat="false" ht="15" hidden="false" customHeight="false" outlineLevel="0" collapsed="false">
      <c r="A28" s="12" t="str">
        <f aca="false">IF(Scores!$A28="","",Scores!A28)</f>
        <v/>
      </c>
      <c r="B28" s="12" t="str">
        <f aca="false">IF(Scores!$A28="","",IF(Scores!C28&gt;0.5,1,0))</f>
        <v/>
      </c>
      <c r="C28" s="12" t="str">
        <f aca="false">IF(Scores!$A28="","",IF(Scores!D28&gt;0.5,1,0))</f>
        <v/>
      </c>
      <c r="D28" s="12" t="str">
        <f aca="false">IF(Scores!$A28="","",IF(Scores!E28&gt;0.5,1,0))</f>
        <v/>
      </c>
      <c r="E28" s="12" t="str">
        <f aca="false">IF(Scores!$A28="","",IF(Scores!F28&gt;0.5,1,0))</f>
        <v/>
      </c>
      <c r="F28" s="12" t="str">
        <f aca="false">IF(Scores!$A28="","",IF(Scores!G28&gt;0.5,1,0))</f>
        <v/>
      </c>
      <c r="G28" s="12" t="str">
        <f aca="false">IF(Scores!$A28="","",IF(Scores!H28&gt;0.5,1,0))</f>
        <v/>
      </c>
      <c r="H28" s="12" t="str">
        <f aca="false">IF(Scores!$A28="","",IF(Scores!I28&gt;0.5,1,0))</f>
        <v/>
      </c>
      <c r="I28" s="12" t="str">
        <f aca="false">IF(Scores!$A28="","",B28&amp;" "&amp;C28&amp;" "&amp;D28&amp;" "&amp;E28&amp;" "&amp;F28)</f>
        <v/>
      </c>
    </row>
    <row r="29" customFormat="false" ht="15" hidden="false" customHeight="false" outlineLevel="0" collapsed="false">
      <c r="A29" s="12" t="str">
        <f aca="false">IF(Scores!$A29="","",Scores!A29)</f>
        <v/>
      </c>
      <c r="B29" s="12" t="str">
        <f aca="false">IF(Scores!$A29="","",IF(Scores!C29&gt;0.5,1,0))</f>
        <v/>
      </c>
      <c r="C29" s="12" t="str">
        <f aca="false">IF(Scores!$A29="","",IF(Scores!D29&gt;0.5,1,0))</f>
        <v/>
      </c>
      <c r="D29" s="12" t="str">
        <f aca="false">IF(Scores!$A29="","",IF(Scores!E29&gt;0.5,1,0))</f>
        <v/>
      </c>
      <c r="E29" s="12" t="str">
        <f aca="false">IF(Scores!$A29="","",IF(Scores!F29&gt;0.5,1,0))</f>
        <v/>
      </c>
      <c r="F29" s="12" t="str">
        <f aca="false">IF(Scores!$A29="","",IF(Scores!G29&gt;0.5,1,0))</f>
        <v/>
      </c>
      <c r="G29" s="12" t="str">
        <f aca="false">IF(Scores!$A29="","",IF(Scores!H29&gt;0.5,1,0))</f>
        <v/>
      </c>
      <c r="H29" s="12" t="str">
        <f aca="false">IF(Scores!$A29="","",IF(Scores!I29&gt;0.5,1,0))</f>
        <v/>
      </c>
      <c r="I29" s="12" t="str">
        <f aca="false">IF(Scores!$A29="","",B29&amp;" "&amp;C29&amp;" "&amp;D29&amp;" "&amp;E29&amp;" "&amp;F29)</f>
        <v/>
      </c>
    </row>
    <row r="30" customFormat="false" ht="15" hidden="false" customHeight="false" outlineLevel="0" collapsed="false">
      <c r="A30" s="12" t="str">
        <f aca="false">IF(Scores!$A30="","",Scores!A30)</f>
        <v/>
      </c>
      <c r="B30" s="12" t="str">
        <f aca="false">IF(Scores!$A30="","",IF(Scores!C30&gt;0.5,1,0))</f>
        <v/>
      </c>
      <c r="C30" s="12" t="str">
        <f aca="false">IF(Scores!$A30="","",IF(Scores!D30&gt;0.5,1,0))</f>
        <v/>
      </c>
      <c r="D30" s="12" t="str">
        <f aca="false">IF(Scores!$A30="","",IF(Scores!E30&gt;0.5,1,0))</f>
        <v/>
      </c>
      <c r="E30" s="12" t="str">
        <f aca="false">IF(Scores!$A30="","",IF(Scores!F30&gt;0.5,1,0))</f>
        <v/>
      </c>
      <c r="F30" s="12" t="str">
        <f aca="false">IF(Scores!$A30="","",IF(Scores!G30&gt;0.5,1,0))</f>
        <v/>
      </c>
      <c r="G30" s="12" t="str">
        <f aca="false">IF(Scores!$A30="","",IF(Scores!H30&gt;0.5,1,0))</f>
        <v/>
      </c>
      <c r="H30" s="12" t="str">
        <f aca="false">IF(Scores!$A30="","",IF(Scores!I30&gt;0.5,1,0))</f>
        <v/>
      </c>
      <c r="I30" s="12" t="str">
        <f aca="false">IF(Scores!$A30="","",B30&amp;" "&amp;C30&amp;" "&amp;D30&amp;" "&amp;E30&amp;" "&amp;F30)</f>
        <v/>
      </c>
    </row>
    <row r="31" customFormat="false" ht="15" hidden="false" customHeight="false" outlineLevel="0" collapsed="false">
      <c r="A31" s="12" t="str">
        <f aca="false">IF(Scores!$A31="","",Scores!A31)</f>
        <v/>
      </c>
      <c r="B31" s="12" t="str">
        <f aca="false">IF(Scores!$A31="","",IF(Scores!C31&gt;0.5,1,0))</f>
        <v/>
      </c>
      <c r="C31" s="12" t="str">
        <f aca="false">IF(Scores!$A31="","",IF(Scores!D31&gt;0.5,1,0))</f>
        <v/>
      </c>
      <c r="D31" s="12" t="str">
        <f aca="false">IF(Scores!$A31="","",IF(Scores!E31&gt;0.5,1,0))</f>
        <v/>
      </c>
      <c r="E31" s="12" t="str">
        <f aca="false">IF(Scores!$A31="","",IF(Scores!F31&gt;0.5,1,0))</f>
        <v/>
      </c>
      <c r="F31" s="12" t="str">
        <f aca="false">IF(Scores!$A31="","",IF(Scores!G31&gt;0.5,1,0))</f>
        <v/>
      </c>
      <c r="G31" s="12" t="str">
        <f aca="false">IF(Scores!$A31="","",IF(Scores!H31&gt;0.5,1,0))</f>
        <v/>
      </c>
      <c r="H31" s="12" t="str">
        <f aca="false">IF(Scores!$A31="","",IF(Scores!I31&gt;0.5,1,0))</f>
        <v/>
      </c>
      <c r="I31" s="12" t="str">
        <f aca="false">IF(Scores!$A31="","",B31&amp;" "&amp;C31&amp;" "&amp;D31&amp;" "&amp;E31&amp;" "&amp;F31)</f>
        <v/>
      </c>
    </row>
    <row r="32" customFormat="false" ht="15" hidden="false" customHeight="false" outlineLevel="0" collapsed="false">
      <c r="A32" s="12" t="str">
        <f aca="false">IF(Scores!$A32="","",Scores!A32)</f>
        <v/>
      </c>
      <c r="B32" s="12" t="str">
        <f aca="false">IF(Scores!$A32="","",IF(Scores!C32&gt;0.5,1,0))</f>
        <v/>
      </c>
      <c r="C32" s="12" t="str">
        <f aca="false">IF(Scores!$A32="","",IF(Scores!D32&gt;0.5,1,0))</f>
        <v/>
      </c>
      <c r="D32" s="12" t="str">
        <f aca="false">IF(Scores!$A32="","",IF(Scores!E32&gt;0.5,1,0))</f>
        <v/>
      </c>
      <c r="E32" s="12" t="str">
        <f aca="false">IF(Scores!$A32="","",IF(Scores!F32&gt;0.5,1,0))</f>
        <v/>
      </c>
      <c r="F32" s="12" t="str">
        <f aca="false">IF(Scores!$A32="","",IF(Scores!G32&gt;0.5,1,0))</f>
        <v/>
      </c>
      <c r="G32" s="12" t="str">
        <f aca="false">IF(Scores!$A32="","",IF(Scores!H32&gt;0.5,1,0))</f>
        <v/>
      </c>
      <c r="H32" s="12" t="str">
        <f aca="false">IF(Scores!$A32="","",IF(Scores!I32&gt;0.5,1,0))</f>
        <v/>
      </c>
      <c r="I32" s="12" t="str">
        <f aca="false">IF(Scores!$A32="","",B32&amp;" "&amp;C32&amp;" "&amp;D32&amp;" "&amp;E32&amp;" "&amp;F32)</f>
        <v/>
      </c>
    </row>
    <row r="33" customFormat="false" ht="15" hidden="false" customHeight="false" outlineLevel="0" collapsed="false">
      <c r="A33" s="12" t="str">
        <f aca="false">IF(Scores!$A33="","",Scores!A33)</f>
        <v/>
      </c>
      <c r="B33" s="12" t="str">
        <f aca="false">IF(Scores!$A33="","",IF(Scores!C33&gt;0.5,1,0))</f>
        <v/>
      </c>
      <c r="C33" s="12" t="str">
        <f aca="false">IF(Scores!$A33="","",IF(Scores!D33&gt;0.5,1,0))</f>
        <v/>
      </c>
      <c r="D33" s="12" t="str">
        <f aca="false">IF(Scores!$A33="","",IF(Scores!E33&gt;0.5,1,0))</f>
        <v/>
      </c>
      <c r="E33" s="12" t="str">
        <f aca="false">IF(Scores!$A33="","",IF(Scores!F33&gt;0.5,1,0))</f>
        <v/>
      </c>
      <c r="F33" s="12" t="str">
        <f aca="false">IF(Scores!$A33="","",IF(Scores!G33&gt;0.5,1,0))</f>
        <v/>
      </c>
      <c r="G33" s="12" t="str">
        <f aca="false">IF(Scores!$A33="","",IF(Scores!H33&gt;0.5,1,0))</f>
        <v/>
      </c>
      <c r="H33" s="12" t="str">
        <f aca="false">IF(Scores!$A33="","",IF(Scores!I33&gt;0.5,1,0))</f>
        <v/>
      </c>
      <c r="I33" s="12" t="str">
        <f aca="false">IF(Scores!$A33="","",B33&amp;" "&amp;C33&amp;" "&amp;D33&amp;" "&amp;E33&amp;" "&amp;F33)</f>
        <v/>
      </c>
    </row>
    <row r="34" customFormat="false" ht="15" hidden="false" customHeight="false" outlineLevel="0" collapsed="false">
      <c r="A34" s="12" t="str">
        <f aca="false">IF(Scores!$A34="","",Scores!A34)</f>
        <v/>
      </c>
      <c r="B34" s="12" t="str">
        <f aca="false">IF(Scores!$A34="","",IF(Scores!C34&gt;0.5,1,0))</f>
        <v/>
      </c>
      <c r="C34" s="12" t="str">
        <f aca="false">IF(Scores!$A34="","",IF(Scores!D34&gt;0.5,1,0))</f>
        <v/>
      </c>
      <c r="D34" s="12" t="str">
        <f aca="false">IF(Scores!$A34="","",IF(Scores!E34&gt;0.5,1,0))</f>
        <v/>
      </c>
      <c r="E34" s="12" t="str">
        <f aca="false">IF(Scores!$A34="","",IF(Scores!F34&gt;0.5,1,0))</f>
        <v/>
      </c>
      <c r="F34" s="12" t="str">
        <f aca="false">IF(Scores!$A34="","",IF(Scores!G34&gt;0.5,1,0))</f>
        <v/>
      </c>
      <c r="G34" s="12" t="str">
        <f aca="false">IF(Scores!$A34="","",IF(Scores!H34&gt;0.5,1,0))</f>
        <v/>
      </c>
      <c r="H34" s="12" t="str">
        <f aca="false">IF(Scores!$A34="","",IF(Scores!I34&gt;0.5,1,0))</f>
        <v/>
      </c>
      <c r="I34" s="12" t="str">
        <f aca="false">IF(Scores!$A34="","",B34&amp;" "&amp;C34&amp;" "&amp;D34&amp;" "&amp;E34&amp;" "&amp;F34)</f>
        <v/>
      </c>
    </row>
    <row r="35" customFormat="false" ht="15" hidden="false" customHeight="false" outlineLevel="0" collapsed="false">
      <c r="A35" s="12" t="str">
        <f aca="false">IF(Scores!$A35="","",Scores!A35)</f>
        <v/>
      </c>
      <c r="B35" s="12" t="str">
        <f aca="false">IF(Scores!$A35="","",IF(Scores!C35&gt;0.5,1,0))</f>
        <v/>
      </c>
      <c r="C35" s="12" t="str">
        <f aca="false">IF(Scores!$A35="","",IF(Scores!D35&gt;0.5,1,0))</f>
        <v/>
      </c>
      <c r="D35" s="12" t="str">
        <f aca="false">IF(Scores!$A35="","",IF(Scores!E35&gt;0.5,1,0))</f>
        <v/>
      </c>
      <c r="E35" s="12" t="str">
        <f aca="false">IF(Scores!$A35="","",IF(Scores!F35&gt;0.5,1,0))</f>
        <v/>
      </c>
      <c r="F35" s="12" t="str">
        <f aca="false">IF(Scores!$A35="","",IF(Scores!G35&gt;0.5,1,0))</f>
        <v/>
      </c>
      <c r="G35" s="12" t="str">
        <f aca="false">IF(Scores!$A35="","",IF(Scores!H35&gt;0.5,1,0))</f>
        <v/>
      </c>
      <c r="H35" s="12" t="str">
        <f aca="false">IF(Scores!$A35="","",IF(Scores!I35&gt;0.5,1,0))</f>
        <v/>
      </c>
      <c r="I35" s="12" t="str">
        <f aca="false">IF(Scores!$A35="","",B35&amp;" "&amp;C35&amp;" "&amp;D35&amp;" "&amp;E35&amp;" "&amp;F35)</f>
        <v/>
      </c>
    </row>
    <row r="36" customFormat="false" ht="15" hidden="false" customHeight="false" outlineLevel="0" collapsed="false">
      <c r="A36" s="12" t="str">
        <f aca="false">IF(Scores!$A36="","",Scores!A36)</f>
        <v/>
      </c>
      <c r="B36" s="12" t="str">
        <f aca="false">IF(Scores!$A36="","",IF(Scores!C36&gt;0.5,1,0))</f>
        <v/>
      </c>
      <c r="C36" s="12" t="str">
        <f aca="false">IF(Scores!$A36="","",IF(Scores!D36&gt;0.5,1,0))</f>
        <v/>
      </c>
      <c r="D36" s="12" t="str">
        <f aca="false">IF(Scores!$A36="","",IF(Scores!E36&gt;0.5,1,0))</f>
        <v/>
      </c>
      <c r="E36" s="12" t="str">
        <f aca="false">IF(Scores!$A36="","",IF(Scores!F36&gt;0.5,1,0))</f>
        <v/>
      </c>
      <c r="F36" s="12" t="str">
        <f aca="false">IF(Scores!$A36="","",IF(Scores!G36&gt;0.5,1,0))</f>
        <v/>
      </c>
      <c r="G36" s="12" t="str">
        <f aca="false">IF(Scores!$A36="","",IF(Scores!H36&gt;0.5,1,0))</f>
        <v/>
      </c>
      <c r="H36" s="12" t="str">
        <f aca="false">IF(Scores!$A36="","",IF(Scores!I36&gt;0.5,1,0))</f>
        <v/>
      </c>
      <c r="I36" s="12" t="str">
        <f aca="false">IF(Scores!$A36="","",B36&amp;" "&amp;C36&amp;" "&amp;D36&amp;" "&amp;E36&amp;" "&amp;F36)</f>
        <v/>
      </c>
    </row>
    <row r="37" customFormat="false" ht="15" hidden="false" customHeight="false" outlineLevel="0" collapsed="false">
      <c r="A37" s="12" t="str">
        <f aca="false">IF(Scores!$A37="","",Scores!A37)</f>
        <v/>
      </c>
      <c r="B37" s="12" t="str">
        <f aca="false">IF(Scores!$A37="","",IF(Scores!C37&gt;0.5,1,0))</f>
        <v/>
      </c>
      <c r="C37" s="12" t="str">
        <f aca="false">IF(Scores!$A37="","",IF(Scores!D37&gt;0.5,1,0))</f>
        <v/>
      </c>
      <c r="D37" s="12" t="str">
        <f aca="false">IF(Scores!$A37="","",IF(Scores!E37&gt;0.5,1,0))</f>
        <v/>
      </c>
      <c r="E37" s="12" t="str">
        <f aca="false">IF(Scores!$A37="","",IF(Scores!F37&gt;0.5,1,0))</f>
        <v/>
      </c>
      <c r="F37" s="12" t="str">
        <f aca="false">IF(Scores!$A37="","",IF(Scores!G37&gt;0.5,1,0))</f>
        <v/>
      </c>
      <c r="G37" s="12" t="str">
        <f aca="false">IF(Scores!$A37="","",IF(Scores!H37&gt;0.5,1,0))</f>
        <v/>
      </c>
      <c r="H37" s="12" t="str">
        <f aca="false">IF(Scores!$A37="","",IF(Scores!I37&gt;0.5,1,0))</f>
        <v/>
      </c>
      <c r="I37" s="12" t="str">
        <f aca="false">IF(Scores!$A37="","",B37&amp;" "&amp;C37&amp;" "&amp;D37&amp;" "&amp;E37&amp;" "&amp;F37)</f>
        <v/>
      </c>
    </row>
    <row r="38" customFormat="false" ht="15" hidden="false" customHeight="false" outlineLevel="0" collapsed="false">
      <c r="A38" s="12" t="str">
        <f aca="false">IF(Scores!$A38="","",Scores!A38)</f>
        <v/>
      </c>
      <c r="B38" s="12" t="str">
        <f aca="false">IF(Scores!$A38="","",IF(Scores!C38&gt;0.5,1,0))</f>
        <v/>
      </c>
      <c r="C38" s="12" t="str">
        <f aca="false">IF(Scores!$A38="","",IF(Scores!D38&gt;0.5,1,0))</f>
        <v/>
      </c>
      <c r="D38" s="12" t="str">
        <f aca="false">IF(Scores!$A38="","",IF(Scores!E38&gt;0.5,1,0))</f>
        <v/>
      </c>
      <c r="E38" s="12" t="str">
        <f aca="false">IF(Scores!$A38="","",IF(Scores!F38&gt;0.5,1,0))</f>
        <v/>
      </c>
      <c r="F38" s="12" t="str">
        <f aca="false">IF(Scores!$A38="","",IF(Scores!G38&gt;0.5,1,0))</f>
        <v/>
      </c>
      <c r="G38" s="12" t="str">
        <f aca="false">IF(Scores!$A38="","",IF(Scores!H38&gt;0.5,1,0))</f>
        <v/>
      </c>
      <c r="H38" s="12" t="str">
        <f aca="false">IF(Scores!$A38="","",IF(Scores!I38&gt;0.5,1,0))</f>
        <v/>
      </c>
      <c r="I38" s="12" t="str">
        <f aca="false">IF(Scores!$A38="","",B38&amp;" "&amp;C38&amp;" "&amp;D38&amp;" "&amp;E38&amp;" "&amp;F38)</f>
        <v/>
      </c>
    </row>
    <row r="39" customFormat="false" ht="15" hidden="false" customHeight="false" outlineLevel="0" collapsed="false">
      <c r="A39" s="12" t="str">
        <f aca="false">IF(Scores!$A39="","",Scores!A39)</f>
        <v/>
      </c>
      <c r="B39" s="12" t="str">
        <f aca="false">IF(Scores!$A39="","",IF(Scores!C39&gt;0.5,1,0))</f>
        <v/>
      </c>
      <c r="C39" s="12" t="str">
        <f aca="false">IF(Scores!$A39="","",IF(Scores!D39&gt;0.5,1,0))</f>
        <v/>
      </c>
      <c r="D39" s="12" t="str">
        <f aca="false">IF(Scores!$A39="","",IF(Scores!E39&gt;0.5,1,0))</f>
        <v/>
      </c>
      <c r="E39" s="12" t="str">
        <f aca="false">IF(Scores!$A39="","",IF(Scores!F39&gt;0.5,1,0))</f>
        <v/>
      </c>
      <c r="F39" s="12" t="str">
        <f aca="false">IF(Scores!$A39="","",IF(Scores!G39&gt;0.5,1,0))</f>
        <v/>
      </c>
      <c r="G39" s="12" t="str">
        <f aca="false">IF(Scores!$A39="","",IF(Scores!H39&gt;0.5,1,0))</f>
        <v/>
      </c>
      <c r="H39" s="12" t="str">
        <f aca="false">IF(Scores!$A39="","",IF(Scores!I39&gt;0.5,1,0))</f>
        <v/>
      </c>
      <c r="I39" s="12" t="str">
        <f aca="false">IF(Scores!$A39="","",B39&amp;" "&amp;C39&amp;" "&amp;D39&amp;" "&amp;E39&amp;" "&amp;F39)</f>
        <v/>
      </c>
    </row>
    <row r="40" customFormat="false" ht="15" hidden="false" customHeight="false" outlineLevel="0" collapsed="false">
      <c r="A40" s="12" t="str">
        <f aca="false">IF(Scores!$A40="","",Scores!A40)</f>
        <v/>
      </c>
      <c r="B40" s="12" t="str">
        <f aca="false">IF(Scores!$A40="","",IF(Scores!C40&gt;0.5,1,0))</f>
        <v/>
      </c>
      <c r="C40" s="12" t="str">
        <f aca="false">IF(Scores!$A40="","",IF(Scores!D40&gt;0.5,1,0))</f>
        <v/>
      </c>
      <c r="D40" s="12" t="str">
        <f aca="false">IF(Scores!$A40="","",IF(Scores!E40&gt;0.5,1,0))</f>
        <v/>
      </c>
      <c r="E40" s="12" t="str">
        <f aca="false">IF(Scores!$A40="","",IF(Scores!F40&gt;0.5,1,0))</f>
        <v/>
      </c>
      <c r="F40" s="12" t="str">
        <f aca="false">IF(Scores!$A40="","",IF(Scores!G40&gt;0.5,1,0))</f>
        <v/>
      </c>
      <c r="G40" s="12" t="str">
        <f aca="false">IF(Scores!$A40="","",IF(Scores!H40&gt;0.5,1,0))</f>
        <v/>
      </c>
      <c r="H40" s="12" t="str">
        <f aca="false">IF(Scores!$A40="","",IF(Scores!I40&gt;0.5,1,0))</f>
        <v/>
      </c>
      <c r="I40" s="12" t="str">
        <f aca="false">IF(Scores!$A40="","",B40&amp;" "&amp;C40&amp;" "&amp;D40&amp;" "&amp;E40&amp;" "&amp;F40)</f>
        <v/>
      </c>
    </row>
    <row r="41" customFormat="false" ht="15" hidden="false" customHeight="false" outlineLevel="0" collapsed="false">
      <c r="A41" s="12" t="str">
        <f aca="false">IF(Scores!$A41="","",Scores!A41)</f>
        <v/>
      </c>
      <c r="B41" s="12" t="str">
        <f aca="false">IF(Scores!$A41="","",IF(Scores!C41&gt;0.5,1,0))</f>
        <v/>
      </c>
      <c r="C41" s="12" t="str">
        <f aca="false">IF(Scores!$A41="","",IF(Scores!D41&gt;0.5,1,0))</f>
        <v/>
      </c>
      <c r="D41" s="12" t="str">
        <f aca="false">IF(Scores!$A41="","",IF(Scores!E41&gt;0.5,1,0))</f>
        <v/>
      </c>
      <c r="E41" s="12" t="str">
        <f aca="false">IF(Scores!$A41="","",IF(Scores!F41&gt;0.5,1,0))</f>
        <v/>
      </c>
      <c r="F41" s="12" t="str">
        <f aca="false">IF(Scores!$A41="","",IF(Scores!G41&gt;0.5,1,0))</f>
        <v/>
      </c>
      <c r="G41" s="12" t="str">
        <f aca="false">IF(Scores!$A41="","",IF(Scores!H41&gt;0.5,1,0))</f>
        <v/>
      </c>
      <c r="H41" s="12" t="str">
        <f aca="false">IF(Scores!$A41="","",IF(Scores!I41&gt;0.5,1,0))</f>
        <v/>
      </c>
      <c r="I41" s="12" t="str">
        <f aca="false">IF(Scores!$A41="","",B41&amp;" "&amp;C41&amp;" "&amp;D41&amp;" "&amp;E41&amp;" "&amp;F41)</f>
        <v/>
      </c>
    </row>
    <row r="42" customFormat="false" ht="15" hidden="false" customHeight="false" outlineLevel="0" collapsed="false">
      <c r="A42" s="12" t="str">
        <f aca="false">IF(Scores!$A42="","",Scores!A42)</f>
        <v/>
      </c>
      <c r="B42" s="12" t="str">
        <f aca="false">IF(Scores!$A42="","",IF(Scores!C42&gt;0.5,1,0))</f>
        <v/>
      </c>
      <c r="C42" s="12" t="str">
        <f aca="false">IF(Scores!$A42="","",IF(Scores!D42&gt;0.5,1,0))</f>
        <v/>
      </c>
      <c r="D42" s="12" t="str">
        <f aca="false">IF(Scores!$A42="","",IF(Scores!E42&gt;0.5,1,0))</f>
        <v/>
      </c>
      <c r="E42" s="12" t="str">
        <f aca="false">IF(Scores!$A42="","",IF(Scores!F42&gt;0.5,1,0))</f>
        <v/>
      </c>
      <c r="F42" s="12" t="str">
        <f aca="false">IF(Scores!$A42="","",IF(Scores!G42&gt;0.5,1,0))</f>
        <v/>
      </c>
      <c r="G42" s="12" t="str">
        <f aca="false">IF(Scores!$A42="","",IF(Scores!H42&gt;0.5,1,0))</f>
        <v/>
      </c>
      <c r="H42" s="12" t="str">
        <f aca="false">IF(Scores!$A42="","",IF(Scores!I42&gt;0.5,1,0))</f>
        <v/>
      </c>
      <c r="I42" s="12" t="str">
        <f aca="false">IF(Scores!$A42="","",B42&amp;" "&amp;C42&amp;" "&amp;D42&amp;" "&amp;E42&amp;" "&amp;F42)</f>
        <v/>
      </c>
    </row>
    <row r="43" customFormat="false" ht="15" hidden="false" customHeight="false" outlineLevel="0" collapsed="false">
      <c r="A43" s="12" t="str">
        <f aca="false">IF(Scores!$A43="","",Scores!A43)</f>
        <v/>
      </c>
      <c r="B43" s="12" t="str">
        <f aca="false">IF(Scores!$A43="","",IF(Scores!C43&gt;0.5,1,0))</f>
        <v/>
      </c>
      <c r="C43" s="12" t="str">
        <f aca="false">IF(Scores!$A43="","",IF(Scores!D43&gt;0.5,1,0))</f>
        <v/>
      </c>
      <c r="D43" s="12" t="str">
        <f aca="false">IF(Scores!$A43="","",IF(Scores!E43&gt;0.5,1,0))</f>
        <v/>
      </c>
      <c r="E43" s="12" t="str">
        <f aca="false">IF(Scores!$A43="","",IF(Scores!F43&gt;0.5,1,0))</f>
        <v/>
      </c>
      <c r="F43" s="12" t="str">
        <f aca="false">IF(Scores!$A43="","",IF(Scores!G43&gt;0.5,1,0))</f>
        <v/>
      </c>
      <c r="G43" s="12" t="str">
        <f aca="false">IF(Scores!$A43="","",IF(Scores!H43&gt;0.5,1,0))</f>
        <v/>
      </c>
      <c r="H43" s="12" t="str">
        <f aca="false">IF(Scores!$A43="","",IF(Scores!I43&gt;0.5,1,0))</f>
        <v/>
      </c>
      <c r="I43" s="12" t="str">
        <f aca="false">IF(Scores!$A43="","",B43&amp;" "&amp;C43&amp;" "&amp;D43&amp;" "&amp;E43&amp;" "&amp;F43)</f>
        <v/>
      </c>
    </row>
    <row r="44" customFormat="false" ht="15" hidden="false" customHeight="false" outlineLevel="0" collapsed="false">
      <c r="A44" s="12" t="str">
        <f aca="false">IF(Scores!$A44="","",Scores!A44)</f>
        <v/>
      </c>
      <c r="B44" s="12" t="str">
        <f aca="false">IF(Scores!$A44="","",IF(Scores!C44&gt;0.5,1,0))</f>
        <v/>
      </c>
      <c r="C44" s="12" t="str">
        <f aca="false">IF(Scores!$A44="","",IF(Scores!D44&gt;0.5,1,0))</f>
        <v/>
      </c>
      <c r="D44" s="12" t="str">
        <f aca="false">IF(Scores!$A44="","",IF(Scores!E44&gt;0.5,1,0))</f>
        <v/>
      </c>
      <c r="E44" s="12" t="str">
        <f aca="false">IF(Scores!$A44="","",IF(Scores!F44&gt;0.5,1,0))</f>
        <v/>
      </c>
      <c r="F44" s="12" t="str">
        <f aca="false">IF(Scores!$A44="","",IF(Scores!G44&gt;0.5,1,0))</f>
        <v/>
      </c>
      <c r="G44" s="12" t="str">
        <f aca="false">IF(Scores!$A44="","",IF(Scores!H44&gt;0.5,1,0))</f>
        <v/>
      </c>
      <c r="H44" s="12" t="str">
        <f aca="false">IF(Scores!$A44="","",IF(Scores!I44&gt;0.5,1,0))</f>
        <v/>
      </c>
      <c r="I44" s="12" t="str">
        <f aca="false">IF(Scores!$A44="","",B44&amp;" "&amp;C44&amp;" "&amp;D44&amp;" "&amp;E44&amp;" "&amp;F44)</f>
        <v/>
      </c>
    </row>
    <row r="45" customFormat="false" ht="15" hidden="false" customHeight="false" outlineLevel="0" collapsed="false">
      <c r="A45" s="12" t="str">
        <f aca="false">IF(Scores!$A45="","",Scores!A45)</f>
        <v/>
      </c>
      <c r="B45" s="12" t="str">
        <f aca="false">IF(Scores!$A45="","",IF(Scores!C45&gt;0.5,1,0))</f>
        <v/>
      </c>
      <c r="C45" s="12" t="str">
        <f aca="false">IF(Scores!$A45="","",IF(Scores!D45&gt;0.5,1,0))</f>
        <v/>
      </c>
      <c r="D45" s="12" t="str">
        <f aca="false">IF(Scores!$A45="","",IF(Scores!E45&gt;0.5,1,0))</f>
        <v/>
      </c>
      <c r="E45" s="12" t="str">
        <f aca="false">IF(Scores!$A45="","",IF(Scores!F45&gt;0.5,1,0))</f>
        <v/>
      </c>
      <c r="F45" s="12" t="str">
        <f aca="false">IF(Scores!$A45="","",IF(Scores!G45&gt;0.5,1,0))</f>
        <v/>
      </c>
      <c r="G45" s="12" t="str">
        <f aca="false">IF(Scores!$A45="","",IF(Scores!H45&gt;0.5,1,0))</f>
        <v/>
      </c>
      <c r="H45" s="12" t="str">
        <f aca="false">IF(Scores!$A45="","",IF(Scores!I45&gt;0.5,1,0))</f>
        <v/>
      </c>
      <c r="I45" s="12" t="str">
        <f aca="false">IF(Scores!$A45="","",B45&amp;" "&amp;C45&amp;" "&amp;D45&amp;" "&amp;E45&amp;" "&amp;F45)</f>
        <v/>
      </c>
    </row>
    <row r="46" customFormat="false" ht="15" hidden="false" customHeight="false" outlineLevel="0" collapsed="false">
      <c r="A46" s="12" t="str">
        <f aca="false">IF(Scores!$A46="","",Scores!A46)</f>
        <v/>
      </c>
      <c r="B46" s="12" t="str">
        <f aca="false">IF(Scores!$A46="","",IF(Scores!C46&gt;0.5,1,0))</f>
        <v/>
      </c>
      <c r="C46" s="12" t="str">
        <f aca="false">IF(Scores!$A46="","",IF(Scores!D46&gt;0.5,1,0))</f>
        <v/>
      </c>
      <c r="D46" s="12" t="str">
        <f aca="false">IF(Scores!$A46="","",IF(Scores!E46&gt;0.5,1,0))</f>
        <v/>
      </c>
      <c r="E46" s="12" t="str">
        <f aca="false">IF(Scores!$A46="","",IF(Scores!F46&gt;0.5,1,0))</f>
        <v/>
      </c>
      <c r="F46" s="12" t="str">
        <f aca="false">IF(Scores!$A46="","",IF(Scores!G46&gt;0.5,1,0))</f>
        <v/>
      </c>
      <c r="G46" s="12" t="str">
        <f aca="false">IF(Scores!$A46="","",IF(Scores!H46&gt;0.5,1,0))</f>
        <v/>
      </c>
      <c r="H46" s="12" t="str">
        <f aca="false">IF(Scores!$A46="","",IF(Scores!I46&gt;0.5,1,0))</f>
        <v/>
      </c>
      <c r="I46" s="12" t="str">
        <f aca="false">IF(Scores!$A46="","",B46&amp;" "&amp;C46&amp;" "&amp;D46&amp;" "&amp;E46&amp;" "&amp;F46)</f>
        <v/>
      </c>
    </row>
    <row r="47" customFormat="false" ht="15" hidden="false" customHeight="false" outlineLevel="0" collapsed="false">
      <c r="A47" s="12" t="str">
        <f aca="false">IF(Scores!$A47="","",Scores!A47)</f>
        <v/>
      </c>
      <c r="B47" s="12" t="str">
        <f aca="false">IF(Scores!$A47="","",IF(Scores!C47&gt;0.5,1,0))</f>
        <v/>
      </c>
      <c r="C47" s="12" t="str">
        <f aca="false">IF(Scores!$A47="","",IF(Scores!D47&gt;0.5,1,0))</f>
        <v/>
      </c>
      <c r="D47" s="12" t="str">
        <f aca="false">IF(Scores!$A47="","",IF(Scores!E47&gt;0.5,1,0))</f>
        <v/>
      </c>
      <c r="E47" s="12" t="str">
        <f aca="false">IF(Scores!$A47="","",IF(Scores!F47&gt;0.5,1,0))</f>
        <v/>
      </c>
      <c r="F47" s="12" t="str">
        <f aca="false">IF(Scores!$A47="","",IF(Scores!G47&gt;0.5,1,0))</f>
        <v/>
      </c>
      <c r="G47" s="12" t="str">
        <f aca="false">IF(Scores!$A47="","",IF(Scores!H47&gt;0.5,1,0))</f>
        <v/>
      </c>
      <c r="H47" s="12" t="str">
        <f aca="false">IF(Scores!$A47="","",IF(Scores!I47&gt;0.5,1,0))</f>
        <v/>
      </c>
      <c r="I47" s="12" t="str">
        <f aca="false">IF(Scores!$A47="","",B47&amp;" "&amp;C47&amp;" "&amp;D47&amp;" "&amp;E47&amp;" "&amp;F47)</f>
        <v/>
      </c>
    </row>
    <row r="48" customFormat="false" ht="15" hidden="false" customHeight="false" outlineLevel="0" collapsed="false">
      <c r="A48" s="12" t="str">
        <f aca="false">IF(Scores!$A48="","",Scores!A48)</f>
        <v/>
      </c>
      <c r="B48" s="12" t="str">
        <f aca="false">IF(Scores!$A48="","",IF(Scores!C48&gt;0.5,1,0))</f>
        <v/>
      </c>
      <c r="C48" s="12" t="str">
        <f aca="false">IF(Scores!$A48="","",IF(Scores!D48&gt;0.5,1,0))</f>
        <v/>
      </c>
      <c r="D48" s="12" t="str">
        <f aca="false">IF(Scores!$A48="","",IF(Scores!E48&gt;0.5,1,0))</f>
        <v/>
      </c>
      <c r="E48" s="12" t="str">
        <f aca="false">IF(Scores!$A48="","",IF(Scores!F48&gt;0.5,1,0))</f>
        <v/>
      </c>
      <c r="F48" s="12" t="str">
        <f aca="false">IF(Scores!$A48="","",IF(Scores!G48&gt;0.5,1,0))</f>
        <v/>
      </c>
      <c r="G48" s="12" t="str">
        <f aca="false">IF(Scores!$A48="","",IF(Scores!H48&gt;0.5,1,0))</f>
        <v/>
      </c>
      <c r="H48" s="12" t="str">
        <f aca="false">IF(Scores!$A48="","",IF(Scores!I48&gt;0.5,1,0))</f>
        <v/>
      </c>
      <c r="I48" s="12" t="str">
        <f aca="false">IF(Scores!$A48="","",B48&amp;" "&amp;C48&amp;" "&amp;D48&amp;" "&amp;E48&amp;" "&amp;F48)</f>
        <v/>
      </c>
    </row>
    <row r="49" customFormat="false" ht="15" hidden="false" customHeight="false" outlineLevel="0" collapsed="false">
      <c r="A49" s="12" t="str">
        <f aca="false">IF(Scores!$A49="","",Scores!A49)</f>
        <v/>
      </c>
      <c r="B49" s="12" t="str">
        <f aca="false">IF(Scores!$A49="","",IF(Scores!C49&gt;0.5,1,0))</f>
        <v/>
      </c>
      <c r="C49" s="12" t="str">
        <f aca="false">IF(Scores!$A49="","",IF(Scores!D49&gt;0.5,1,0))</f>
        <v/>
      </c>
      <c r="D49" s="12" t="str">
        <f aca="false">IF(Scores!$A49="","",IF(Scores!E49&gt;0.5,1,0))</f>
        <v/>
      </c>
      <c r="E49" s="12" t="str">
        <f aca="false">IF(Scores!$A49="","",IF(Scores!F49&gt;0.5,1,0))</f>
        <v/>
      </c>
      <c r="F49" s="12" t="str">
        <f aca="false">IF(Scores!$A49="","",IF(Scores!G49&gt;0.5,1,0))</f>
        <v/>
      </c>
      <c r="G49" s="12" t="str">
        <f aca="false">IF(Scores!$A49="","",IF(Scores!H49&gt;0.5,1,0))</f>
        <v/>
      </c>
      <c r="H49" s="12" t="str">
        <f aca="false">IF(Scores!$A49="","",IF(Scores!I49&gt;0.5,1,0))</f>
        <v/>
      </c>
      <c r="I49" s="12" t="str">
        <f aca="false">IF(Scores!$A49="","",B49&amp;" "&amp;C49&amp;" "&amp;D49&amp;" "&amp;E49&amp;" "&amp;F49)</f>
        <v/>
      </c>
    </row>
    <row r="50" customFormat="false" ht="15" hidden="false" customHeight="false" outlineLevel="0" collapsed="false">
      <c r="A50" s="12" t="str">
        <f aca="false">IF(Scores!$A50="","",Scores!A50)</f>
        <v/>
      </c>
      <c r="B50" s="12" t="str">
        <f aca="false">IF(Scores!$A50="","",IF(Scores!C50&gt;0.5,1,0))</f>
        <v/>
      </c>
      <c r="C50" s="12" t="str">
        <f aca="false">IF(Scores!$A50="","",IF(Scores!D50&gt;0.5,1,0))</f>
        <v/>
      </c>
      <c r="D50" s="12" t="str">
        <f aca="false">IF(Scores!$A50="","",IF(Scores!E50&gt;0.5,1,0))</f>
        <v/>
      </c>
      <c r="E50" s="12" t="str">
        <f aca="false">IF(Scores!$A50="","",IF(Scores!F50&gt;0.5,1,0))</f>
        <v/>
      </c>
      <c r="F50" s="12" t="str">
        <f aca="false">IF(Scores!$A50="","",IF(Scores!G50&gt;0.5,1,0))</f>
        <v/>
      </c>
      <c r="G50" s="12" t="str">
        <f aca="false">IF(Scores!$A50="","",IF(Scores!H50&gt;0.5,1,0))</f>
        <v/>
      </c>
      <c r="H50" s="12" t="str">
        <f aca="false">IF(Scores!$A50="","",IF(Scores!I50&gt;0.5,1,0))</f>
        <v/>
      </c>
      <c r="I50" s="12" t="str">
        <f aca="false">IF(Scores!$A50="","",B50&amp;" "&amp;C50&amp;" "&amp;D50&amp;" "&amp;E50&amp;" "&amp;F50)</f>
        <v/>
      </c>
    </row>
    <row r="51" customFormat="false" ht="15" hidden="false" customHeight="false" outlineLevel="0" collapsed="false">
      <c r="A51" s="12" t="str">
        <f aca="false">IF(Scores!$A51="","",Scores!A51)</f>
        <v/>
      </c>
      <c r="B51" s="12" t="str">
        <f aca="false">IF(Scores!$A51="","",IF(Scores!C51&gt;0.5,1,0))</f>
        <v/>
      </c>
      <c r="C51" s="12" t="str">
        <f aca="false">IF(Scores!$A51="","",IF(Scores!D51&gt;0.5,1,0))</f>
        <v/>
      </c>
      <c r="D51" s="12" t="str">
        <f aca="false">IF(Scores!$A51="","",IF(Scores!E51&gt;0.5,1,0))</f>
        <v/>
      </c>
      <c r="E51" s="12" t="str">
        <f aca="false">IF(Scores!$A51="","",IF(Scores!F51&gt;0.5,1,0))</f>
        <v/>
      </c>
      <c r="F51" s="12" t="str">
        <f aca="false">IF(Scores!$A51="","",IF(Scores!G51&gt;0.5,1,0))</f>
        <v/>
      </c>
      <c r="G51" s="12" t="str">
        <f aca="false">IF(Scores!$A51="","",IF(Scores!H51&gt;0.5,1,0))</f>
        <v/>
      </c>
      <c r="H51" s="12" t="str">
        <f aca="false">IF(Scores!$A51="","",IF(Scores!I51&gt;0.5,1,0))</f>
        <v/>
      </c>
      <c r="I51" s="12" t="str">
        <f aca="false">IF(Scores!$A51="","",B51&amp;" "&amp;C51&amp;" "&amp;D51&amp;" "&amp;E51&amp;" "&amp;F51)</f>
        <v/>
      </c>
    </row>
    <row r="52" customFormat="false" ht="15" hidden="false" customHeight="false" outlineLevel="0" collapsed="false">
      <c r="A52" s="12" t="str">
        <f aca="false">IF(Scores!$A52="","",Scores!A52)</f>
        <v/>
      </c>
      <c r="B52" s="12" t="str">
        <f aca="false">IF(Scores!$A52="","",IF(Scores!C52&gt;0.5,1,0))</f>
        <v/>
      </c>
      <c r="C52" s="12" t="str">
        <f aca="false">IF(Scores!$A52="","",IF(Scores!D52&gt;0.5,1,0))</f>
        <v/>
      </c>
      <c r="D52" s="12" t="str">
        <f aca="false">IF(Scores!$A52="","",IF(Scores!E52&gt;0.5,1,0))</f>
        <v/>
      </c>
      <c r="E52" s="12" t="str">
        <f aca="false">IF(Scores!$A52="","",IF(Scores!F52&gt;0.5,1,0))</f>
        <v/>
      </c>
      <c r="F52" s="12" t="str">
        <f aca="false">IF(Scores!$A52="","",IF(Scores!G52&gt;0.5,1,0))</f>
        <v/>
      </c>
      <c r="G52" s="12" t="str">
        <f aca="false">IF(Scores!$A52="","",IF(Scores!H52&gt;0.5,1,0))</f>
        <v/>
      </c>
      <c r="H52" s="12" t="str">
        <f aca="false">IF(Scores!$A52="","",IF(Scores!I52&gt;0.5,1,0))</f>
        <v/>
      </c>
      <c r="I52" s="12" t="str">
        <f aca="false">IF(Scores!$A52="","",B52&amp;" "&amp;C52&amp;" "&amp;D52&amp;" "&amp;E52&amp;" "&amp;F52)</f>
        <v/>
      </c>
    </row>
    <row r="53" customFormat="false" ht="15" hidden="false" customHeight="false" outlineLevel="0" collapsed="false">
      <c r="A53" s="12" t="str">
        <f aca="false">IF(Scores!$A53="","",Scores!A53)</f>
        <v/>
      </c>
      <c r="B53" s="12" t="str">
        <f aca="false">IF(Scores!$A53="","",IF(Scores!C53&gt;0.5,1,0))</f>
        <v/>
      </c>
      <c r="C53" s="12" t="str">
        <f aca="false">IF(Scores!$A53="","",IF(Scores!D53&gt;0.5,1,0))</f>
        <v/>
      </c>
      <c r="D53" s="12" t="str">
        <f aca="false">IF(Scores!$A53="","",IF(Scores!E53&gt;0.5,1,0))</f>
        <v/>
      </c>
      <c r="E53" s="12" t="str">
        <f aca="false">IF(Scores!$A53="","",IF(Scores!F53&gt;0.5,1,0))</f>
        <v/>
      </c>
      <c r="F53" s="12" t="str">
        <f aca="false">IF(Scores!$A53="","",IF(Scores!G53&gt;0.5,1,0))</f>
        <v/>
      </c>
      <c r="G53" s="12" t="str">
        <f aca="false">IF(Scores!$A53="","",IF(Scores!H53&gt;0.5,1,0))</f>
        <v/>
      </c>
      <c r="H53" s="12" t="str">
        <f aca="false">IF(Scores!$A53="","",IF(Scores!I53&gt;0.5,1,0))</f>
        <v/>
      </c>
      <c r="I53" s="12" t="str">
        <f aca="false">IF(Scores!$A53="","",B53&amp;" "&amp;C53&amp;" "&amp;D53&amp;" "&amp;E53&amp;" "&amp;F53)</f>
        <v/>
      </c>
    </row>
    <row r="54" customFormat="false" ht="15" hidden="false" customHeight="false" outlineLevel="0" collapsed="false">
      <c r="A54" s="12" t="str">
        <f aca="false">IF(Scores!$A54="","",Scores!A54)</f>
        <v/>
      </c>
      <c r="B54" s="12" t="str">
        <f aca="false">IF(Scores!$A54="","",IF(Scores!C54&gt;0.5,1,0))</f>
        <v/>
      </c>
      <c r="C54" s="12" t="str">
        <f aca="false">IF(Scores!$A54="","",IF(Scores!D54&gt;0.5,1,0))</f>
        <v/>
      </c>
      <c r="D54" s="12" t="str">
        <f aca="false">IF(Scores!$A54="","",IF(Scores!E54&gt;0.5,1,0))</f>
        <v/>
      </c>
      <c r="E54" s="12" t="str">
        <f aca="false">IF(Scores!$A54="","",IF(Scores!F54&gt;0.5,1,0))</f>
        <v/>
      </c>
      <c r="F54" s="12" t="str">
        <f aca="false">IF(Scores!$A54="","",IF(Scores!G54&gt;0.5,1,0))</f>
        <v/>
      </c>
      <c r="G54" s="12" t="str">
        <f aca="false">IF(Scores!$A54="","",IF(Scores!H54&gt;0.5,1,0))</f>
        <v/>
      </c>
      <c r="H54" s="12" t="str">
        <f aca="false">IF(Scores!$A54="","",IF(Scores!I54&gt;0.5,1,0))</f>
        <v/>
      </c>
      <c r="I54" s="12" t="str">
        <f aca="false">IF(Scores!$A54="","",B54&amp;" "&amp;C54&amp;" "&amp;D54&amp;" "&amp;E54&amp;" "&amp;F54)</f>
        <v/>
      </c>
    </row>
    <row r="55" customFormat="false" ht="15" hidden="false" customHeight="false" outlineLevel="0" collapsed="false">
      <c r="A55" s="12" t="str">
        <f aca="false">IF(Scores!$A55="","",Scores!A55)</f>
        <v/>
      </c>
      <c r="B55" s="12" t="str">
        <f aca="false">IF(Scores!$A55="","",IF(Scores!C55&gt;0.5,1,0))</f>
        <v/>
      </c>
      <c r="C55" s="12" t="str">
        <f aca="false">IF(Scores!$A55="","",IF(Scores!D55&gt;0.5,1,0))</f>
        <v/>
      </c>
      <c r="D55" s="12" t="str">
        <f aca="false">IF(Scores!$A55="","",IF(Scores!E55&gt;0.5,1,0))</f>
        <v/>
      </c>
      <c r="E55" s="12" t="str">
        <f aca="false">IF(Scores!$A55="","",IF(Scores!F55&gt;0.5,1,0))</f>
        <v/>
      </c>
      <c r="F55" s="12" t="str">
        <f aca="false">IF(Scores!$A55="","",IF(Scores!G55&gt;0.5,1,0))</f>
        <v/>
      </c>
      <c r="G55" s="12" t="str">
        <f aca="false">IF(Scores!$A55="","",IF(Scores!H55&gt;0.5,1,0))</f>
        <v/>
      </c>
      <c r="H55" s="12" t="str">
        <f aca="false">IF(Scores!$A55="","",IF(Scores!I55&gt;0.5,1,0))</f>
        <v/>
      </c>
      <c r="I55" s="12" t="str">
        <f aca="false">IF(Scores!$A55="","",B55&amp;" "&amp;C55&amp;" "&amp;D55&amp;" "&amp;E55&amp;" "&amp;F55)</f>
        <v/>
      </c>
    </row>
    <row r="56" customFormat="false" ht="15" hidden="false" customHeight="false" outlineLevel="0" collapsed="false">
      <c r="A56" s="12" t="str">
        <f aca="false">IF(Scores!$A56="","",Scores!A56)</f>
        <v/>
      </c>
      <c r="B56" s="12" t="str">
        <f aca="false">IF(Scores!$A56="","",IF(Scores!C56&gt;0.5,1,0))</f>
        <v/>
      </c>
      <c r="C56" s="12" t="str">
        <f aca="false">IF(Scores!$A56="","",IF(Scores!D56&gt;0.5,1,0))</f>
        <v/>
      </c>
      <c r="D56" s="12" t="str">
        <f aca="false">IF(Scores!$A56="","",IF(Scores!E56&gt;0.5,1,0))</f>
        <v/>
      </c>
      <c r="E56" s="12" t="str">
        <f aca="false">IF(Scores!$A56="","",IF(Scores!F56&gt;0.5,1,0))</f>
        <v/>
      </c>
      <c r="F56" s="12" t="str">
        <f aca="false">IF(Scores!$A56="","",IF(Scores!G56&gt;0.5,1,0))</f>
        <v/>
      </c>
      <c r="G56" s="12" t="str">
        <f aca="false">IF(Scores!$A56="","",IF(Scores!H56&gt;0.5,1,0))</f>
        <v/>
      </c>
      <c r="H56" s="12" t="str">
        <f aca="false">IF(Scores!$A56="","",IF(Scores!I56&gt;0.5,1,0))</f>
        <v/>
      </c>
      <c r="I56" s="12" t="str">
        <f aca="false">IF(Scores!$A56="","",B56&amp;" "&amp;C56&amp;" "&amp;D56&amp;" "&amp;E56&amp;" "&amp;F56)</f>
        <v/>
      </c>
    </row>
    <row r="57" customFormat="false" ht="15" hidden="false" customHeight="false" outlineLevel="0" collapsed="false">
      <c r="A57" s="12" t="str">
        <f aca="false">IF(Scores!$A57="","",Scores!A57)</f>
        <v/>
      </c>
      <c r="B57" s="12" t="str">
        <f aca="false">IF(Scores!$A57="","",IF(Scores!C57&gt;0.5,1,0))</f>
        <v/>
      </c>
      <c r="C57" s="12" t="str">
        <f aca="false">IF(Scores!$A57="","",IF(Scores!D57&gt;0.5,1,0))</f>
        <v/>
      </c>
      <c r="D57" s="12" t="str">
        <f aca="false">IF(Scores!$A57="","",IF(Scores!E57&gt;0.5,1,0))</f>
        <v/>
      </c>
      <c r="E57" s="12" t="str">
        <f aca="false">IF(Scores!$A57="","",IF(Scores!F57&gt;0.5,1,0))</f>
        <v/>
      </c>
      <c r="F57" s="12" t="str">
        <f aca="false">IF(Scores!$A57="","",IF(Scores!G57&gt;0.5,1,0))</f>
        <v/>
      </c>
      <c r="G57" s="12" t="str">
        <f aca="false">IF(Scores!$A57="","",IF(Scores!H57&gt;0.5,1,0))</f>
        <v/>
      </c>
      <c r="H57" s="12" t="str">
        <f aca="false">IF(Scores!$A57="","",IF(Scores!I57&gt;0.5,1,0))</f>
        <v/>
      </c>
      <c r="I57" s="12" t="str">
        <f aca="false">IF(Scores!$A57="","",B57&amp;" "&amp;C57&amp;" "&amp;D57&amp;" "&amp;E57&amp;" "&amp;F57)</f>
        <v/>
      </c>
    </row>
    <row r="58" customFormat="false" ht="15" hidden="false" customHeight="false" outlineLevel="0" collapsed="false">
      <c r="A58" s="12" t="str">
        <f aca="false">IF(Scores!$A58="","",Scores!A58)</f>
        <v/>
      </c>
      <c r="B58" s="12" t="str">
        <f aca="false">IF(Scores!$A58="","",IF(Scores!C58&gt;0.5,1,0))</f>
        <v/>
      </c>
      <c r="C58" s="12" t="str">
        <f aca="false">IF(Scores!$A58="","",IF(Scores!D58&gt;0.5,1,0))</f>
        <v/>
      </c>
      <c r="D58" s="12" t="str">
        <f aca="false">IF(Scores!$A58="","",IF(Scores!E58&gt;0.5,1,0))</f>
        <v/>
      </c>
      <c r="E58" s="12" t="str">
        <f aca="false">IF(Scores!$A58="","",IF(Scores!F58&gt;0.5,1,0))</f>
        <v/>
      </c>
      <c r="F58" s="12" t="str">
        <f aca="false">IF(Scores!$A58="","",IF(Scores!G58&gt;0.5,1,0))</f>
        <v/>
      </c>
      <c r="G58" s="12" t="str">
        <f aca="false">IF(Scores!$A58="","",IF(Scores!H58&gt;0.5,1,0))</f>
        <v/>
      </c>
      <c r="H58" s="12" t="str">
        <f aca="false">IF(Scores!$A58="","",IF(Scores!I58&gt;0.5,1,0))</f>
        <v/>
      </c>
      <c r="I58" s="12" t="str">
        <f aca="false">IF(Scores!$A58="","",B58&amp;" "&amp;C58&amp;" "&amp;D58&amp;" "&amp;E58&amp;" "&amp;F58)</f>
        <v/>
      </c>
    </row>
    <row r="59" customFormat="false" ht="15" hidden="false" customHeight="false" outlineLevel="0" collapsed="false">
      <c r="A59" s="12" t="str">
        <f aca="false">IF(Scores!$A59="","",Scores!A59)</f>
        <v/>
      </c>
      <c r="B59" s="12" t="str">
        <f aca="false">IF(Scores!$A59="","",IF(Scores!C59&gt;0.5,1,0))</f>
        <v/>
      </c>
      <c r="C59" s="12" t="str">
        <f aca="false">IF(Scores!$A59="","",IF(Scores!D59&gt;0.5,1,0))</f>
        <v/>
      </c>
      <c r="D59" s="12" t="str">
        <f aca="false">IF(Scores!$A59="","",IF(Scores!E59&gt;0.5,1,0))</f>
        <v/>
      </c>
      <c r="E59" s="12" t="str">
        <f aca="false">IF(Scores!$A59="","",IF(Scores!F59&gt;0.5,1,0))</f>
        <v/>
      </c>
      <c r="F59" s="12" t="str">
        <f aca="false">IF(Scores!$A59="","",IF(Scores!G59&gt;0.5,1,0))</f>
        <v/>
      </c>
      <c r="G59" s="12" t="str">
        <f aca="false">IF(Scores!$A59="","",IF(Scores!H59&gt;0.5,1,0))</f>
        <v/>
      </c>
      <c r="H59" s="12" t="str">
        <f aca="false">IF(Scores!$A59="","",IF(Scores!I59&gt;0.5,1,0))</f>
        <v/>
      </c>
      <c r="I59" s="12" t="str">
        <f aca="false">IF(Scores!$A59="","",B59&amp;" "&amp;C59&amp;" "&amp;D59&amp;" "&amp;E59&amp;" "&amp;F59)</f>
        <v/>
      </c>
    </row>
    <row r="60" customFormat="false" ht="15" hidden="false" customHeight="false" outlineLevel="0" collapsed="false">
      <c r="A60" s="12" t="str">
        <f aca="false">IF(Scores!$A60="","",Scores!A60)</f>
        <v/>
      </c>
      <c r="B60" s="12" t="str">
        <f aca="false">IF(Scores!$A60="","",IF(Scores!C60&gt;0.5,1,0))</f>
        <v/>
      </c>
      <c r="C60" s="12" t="str">
        <f aca="false">IF(Scores!$A60="","",IF(Scores!D60&gt;0.5,1,0))</f>
        <v/>
      </c>
      <c r="D60" s="12" t="str">
        <f aca="false">IF(Scores!$A60="","",IF(Scores!E60&gt;0.5,1,0))</f>
        <v/>
      </c>
      <c r="E60" s="12" t="str">
        <f aca="false">IF(Scores!$A60="","",IF(Scores!F60&gt;0.5,1,0))</f>
        <v/>
      </c>
      <c r="F60" s="12" t="str">
        <f aca="false">IF(Scores!$A60="","",IF(Scores!G60&gt;0.5,1,0))</f>
        <v/>
      </c>
      <c r="G60" s="12" t="str">
        <f aca="false">IF(Scores!$A60="","",IF(Scores!H60&gt;0.5,1,0))</f>
        <v/>
      </c>
      <c r="H60" s="12" t="str">
        <f aca="false">IF(Scores!$A60="","",IF(Scores!I60&gt;0.5,1,0))</f>
        <v/>
      </c>
      <c r="I60" s="12" t="str">
        <f aca="false">IF(Scores!$A60="","",B60&amp;" "&amp;C60&amp;" "&amp;D60&amp;" "&amp;E60&amp;" "&amp;F60)</f>
        <v/>
      </c>
    </row>
    <row r="61" customFormat="false" ht="15" hidden="false" customHeight="false" outlineLevel="0" collapsed="false">
      <c r="A61" s="12" t="str">
        <f aca="false">IF(Scores!$A61="","",Scores!A61)</f>
        <v/>
      </c>
      <c r="B61" s="12" t="str">
        <f aca="false">IF(Scores!$A61="","",IF(Scores!C61&gt;0.5,1,0))</f>
        <v/>
      </c>
      <c r="C61" s="12" t="str">
        <f aca="false">IF(Scores!$A61="","",IF(Scores!D61&gt;0.5,1,0))</f>
        <v/>
      </c>
      <c r="D61" s="12" t="str">
        <f aca="false">IF(Scores!$A61="","",IF(Scores!E61&gt;0.5,1,0))</f>
        <v/>
      </c>
      <c r="E61" s="12" t="str">
        <f aca="false">IF(Scores!$A61="","",IF(Scores!F61&gt;0.5,1,0))</f>
        <v/>
      </c>
      <c r="F61" s="12" t="str">
        <f aca="false">IF(Scores!$A61="","",IF(Scores!G61&gt;0.5,1,0))</f>
        <v/>
      </c>
      <c r="G61" s="12" t="str">
        <f aca="false">IF(Scores!$A61="","",IF(Scores!H61&gt;0.5,1,0))</f>
        <v/>
      </c>
      <c r="H61" s="12" t="str">
        <f aca="false">IF(Scores!$A61="","",IF(Scores!I61&gt;0.5,1,0))</f>
        <v/>
      </c>
      <c r="I61" s="12" t="str">
        <f aca="false">IF(Scores!$A61="","",B61&amp;" "&amp;C61&amp;" "&amp;D61&amp;" "&amp;E61&amp;" "&amp;F61)</f>
        <v/>
      </c>
    </row>
    <row r="63" customFormat="false" ht="15" hidden="false" customHeight="false" outlineLevel="0" collapsed="false">
      <c r="A63" s="14"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8" min="3" style="0" width="16"/>
  </cols>
  <sheetData>
    <row r="1" customFormat="false" ht="39.55" hidden="false" customHeight="false" outlineLevel="0" collapsed="false">
      <c r="A1" s="9" t="s">
        <v>34</v>
      </c>
      <c r="B1" s="9" t="s">
        <v>36</v>
      </c>
      <c r="C1" s="9" t="s">
        <v>131</v>
      </c>
      <c r="D1" s="9" t="s">
        <v>132</v>
      </c>
      <c r="E1" s="9" t="s">
        <v>133</v>
      </c>
      <c r="F1" s="9" t="s">
        <v>134</v>
      </c>
      <c r="G1" s="9" t="s">
        <v>135</v>
      </c>
      <c r="H1" s="9" t="s">
        <v>136</v>
      </c>
    </row>
    <row r="2" customFormat="false" ht="15" hidden="false" customHeight="false" outlineLevel="0" collapsed="false">
      <c r="A2" s="12" t="str">
        <f aca="false">IF(Scores!$A2="","",Scores!A2)</f>
        <v>Zeno of Citium</v>
      </c>
      <c r="B2" s="15" t="n">
        <f aca="false">IF(Scores!$A2="","",Scores!I2)</f>
        <v>1</v>
      </c>
      <c r="C2" s="15" t="n">
        <f aca="false">IF(Scores!$A2="","",MIN(Scores!F2,Scores!G2))</f>
        <v>1</v>
      </c>
      <c r="D2" s="15" t="n">
        <f aca="false">IF(Scores!$A2="","",MIN(C2,B2))</f>
        <v>1</v>
      </c>
      <c r="E2" s="15" t="n">
        <f aca="false">IF(Scores!$A2="","",MIN(Scores!C2,Scores!D2,Scores!E2,1-Scores!G2))</f>
        <v>0</v>
      </c>
      <c r="F2" s="15" t="n">
        <f aca="false">IF(Scores!$A2="","",MIN(E2,B2))</f>
        <v>0</v>
      </c>
      <c r="G2" s="15" t="n">
        <f aca="false">IF(Scores!$A2="","",MIN(Scores!C2,Scores!E2,1-Scores!H2,1-Scores!G2))</f>
        <v>0</v>
      </c>
      <c r="H2" s="15" t="n">
        <f aca="false">IF(Scores!$A2="","",MIN(G2,B2))</f>
        <v>0</v>
      </c>
    </row>
    <row r="3" customFormat="false" ht="15" hidden="false" customHeight="false" outlineLevel="0" collapsed="false">
      <c r="A3" s="12" t="str">
        <f aca="false">IF(Scores!$A3="","",Scores!A3)</f>
        <v>Cleanthes</v>
      </c>
      <c r="B3" s="15" t="n">
        <f aca="false">IF(Scores!$A3="","",Scores!I3)</f>
        <v>1</v>
      </c>
      <c r="C3" s="15" t="n">
        <f aca="false">IF(Scores!$A3="","",MIN(Scores!F3,Scores!G3))</f>
        <v>1</v>
      </c>
      <c r="D3" s="15" t="n">
        <f aca="false">IF(Scores!$A3="","",MIN(C3,B3))</f>
        <v>1</v>
      </c>
      <c r="E3" s="15" t="n">
        <f aca="false">IF(Scores!$A3="","",MIN(Scores!C3,Scores!D3,Scores!E3,1-Scores!G3))</f>
        <v>0</v>
      </c>
      <c r="F3" s="15" t="n">
        <f aca="false">IF(Scores!$A3="","",MIN(E3,B3))</f>
        <v>0</v>
      </c>
      <c r="G3" s="15" t="n">
        <f aca="false">IF(Scores!$A3="","",MIN(Scores!C3,Scores!E3,1-Scores!H3,1-Scores!G3))</f>
        <v>0</v>
      </c>
      <c r="H3" s="15" t="n">
        <f aca="false">IF(Scores!$A3="","",MIN(G3,B3))</f>
        <v>0</v>
      </c>
    </row>
    <row r="4" customFormat="false" ht="15" hidden="false" customHeight="false" outlineLevel="0" collapsed="false">
      <c r="A4" s="12" t="str">
        <f aca="false">IF(Scores!$A4="","",Scores!A4)</f>
        <v>Chrysippus</v>
      </c>
      <c r="B4" s="15" t="n">
        <f aca="false">IF(Scores!$A4="","",Scores!I4)</f>
        <v>0.67</v>
      </c>
      <c r="C4" s="15" t="n">
        <f aca="false">IF(Scores!$A4="","",MIN(Scores!F4,Scores!G4))</f>
        <v>1</v>
      </c>
      <c r="D4" s="15" t="n">
        <f aca="false">IF(Scores!$A4="","",MIN(C4,B4))</f>
        <v>0.67</v>
      </c>
      <c r="E4" s="15" t="n">
        <f aca="false">IF(Scores!$A4="","",MIN(Scores!C4,Scores!D4,Scores!E4,1-Scores!G4))</f>
        <v>0</v>
      </c>
      <c r="F4" s="15" t="n">
        <f aca="false">IF(Scores!$A4="","",MIN(E4,B4))</f>
        <v>0</v>
      </c>
      <c r="G4" s="15" t="n">
        <f aca="false">IF(Scores!$A4="","",MIN(Scores!C4,Scores!E4,1-Scores!H4,1-Scores!G4))</f>
        <v>0</v>
      </c>
      <c r="H4" s="15" t="n">
        <f aca="false">IF(Scores!$A4="","",MIN(G4,B4))</f>
        <v>0</v>
      </c>
    </row>
    <row r="5" customFormat="false" ht="15" hidden="false" customHeight="false" outlineLevel="0" collapsed="false">
      <c r="A5" s="12" t="str">
        <f aca="false">IF(Scores!$A5="","",Scores!A5)</f>
        <v>Diogenes of Babylon</v>
      </c>
      <c r="B5" s="15" t="n">
        <f aca="false">IF(Scores!$A5="","",Scores!I5)</f>
        <v>0.67</v>
      </c>
      <c r="C5" s="15" t="n">
        <f aca="false">IF(Scores!$A5="","",MIN(Scores!F5,Scores!G5))</f>
        <v>1</v>
      </c>
      <c r="D5" s="15" t="n">
        <f aca="false">IF(Scores!$A5="","",MIN(C5,B5))</f>
        <v>0.67</v>
      </c>
      <c r="E5" s="15" t="n">
        <f aca="false">IF(Scores!$A5="","",MIN(Scores!C5,Scores!D5,Scores!E5,1-Scores!G5))</f>
        <v>0</v>
      </c>
      <c r="F5" s="15" t="n">
        <f aca="false">IF(Scores!$A5="","",MIN(E5,B5))</f>
        <v>0</v>
      </c>
      <c r="G5" s="15" t="n">
        <f aca="false">IF(Scores!$A5="","",MIN(Scores!C5,Scores!E5,1-Scores!H5,1-Scores!G5))</f>
        <v>0</v>
      </c>
      <c r="H5" s="15" t="n">
        <f aca="false">IF(Scores!$A5="","",MIN(G5,B5))</f>
        <v>0</v>
      </c>
    </row>
    <row r="6" customFormat="false" ht="15" hidden="false" customHeight="false" outlineLevel="0" collapsed="false">
      <c r="A6" s="12" t="str">
        <f aca="false">IF(Scores!$A6="","",Scores!A6)</f>
        <v>Panaetius</v>
      </c>
      <c r="B6" s="15" t="n">
        <f aca="false">IF(Scores!$A6="","",Scores!I6)</f>
        <v>0.67</v>
      </c>
      <c r="C6" s="15" t="n">
        <f aca="false">IF(Scores!$A6="","",MIN(Scores!F6,Scores!G6))</f>
        <v>1</v>
      </c>
      <c r="D6" s="15" t="n">
        <f aca="false">IF(Scores!$A6="","",MIN(C6,B6))</f>
        <v>0.67</v>
      </c>
      <c r="E6" s="15" t="n">
        <f aca="false">IF(Scores!$A6="","",MIN(Scores!C6,Scores!D6,Scores!E6,1-Scores!G6))</f>
        <v>0</v>
      </c>
      <c r="F6" s="15" t="n">
        <f aca="false">IF(Scores!$A6="","",MIN(E6,B6))</f>
        <v>0</v>
      </c>
      <c r="G6" s="15" t="n">
        <f aca="false">IF(Scores!$A6="","",MIN(Scores!C6,Scores!E6,1-Scores!H6,1-Scores!G6))</f>
        <v>0</v>
      </c>
      <c r="H6" s="15" t="n">
        <f aca="false">IF(Scores!$A6="","",MIN(G6,B6))</f>
        <v>0</v>
      </c>
    </row>
    <row r="7" customFormat="false" ht="15" hidden="false" customHeight="false" outlineLevel="0" collapsed="false">
      <c r="A7" s="12" t="str">
        <f aca="false">IF(Scores!$A7="","",Scores!A7)</f>
        <v>Posidonius</v>
      </c>
      <c r="B7" s="15" t="n">
        <f aca="false">IF(Scores!$A7="","",Scores!I7)</f>
        <v>0.67</v>
      </c>
      <c r="C7" s="15" t="n">
        <f aca="false">IF(Scores!$A7="","",MIN(Scores!F7,Scores!G7))</f>
        <v>1</v>
      </c>
      <c r="D7" s="15" t="n">
        <f aca="false">IF(Scores!$A7="","",MIN(C7,B7))</f>
        <v>0.67</v>
      </c>
      <c r="E7" s="15" t="n">
        <f aca="false">IF(Scores!$A7="","",MIN(Scores!C7,Scores!D7,Scores!E7,1-Scores!G7))</f>
        <v>0</v>
      </c>
      <c r="F7" s="15" t="n">
        <f aca="false">IF(Scores!$A7="","",MIN(E7,B7))</f>
        <v>0</v>
      </c>
      <c r="G7" s="15" t="n">
        <f aca="false">IF(Scores!$A7="","",MIN(Scores!C7,Scores!E7,1-Scores!H7,1-Scores!G7))</f>
        <v>0</v>
      </c>
      <c r="H7" s="15" t="n">
        <f aca="false">IF(Scores!$A7="","",MIN(G7,B7))</f>
        <v>0</v>
      </c>
    </row>
    <row r="8" customFormat="false" ht="15" hidden="false" customHeight="false" outlineLevel="0" collapsed="false">
      <c r="A8" s="12" t="str">
        <f aca="false">IF(Scores!$A8="","",Scores!A8)</f>
        <v>Athenodorus Cananites</v>
      </c>
      <c r="B8" s="15" t="n">
        <f aca="false">IF(Scores!$A8="","",Scores!I8)</f>
        <v>0.67</v>
      </c>
      <c r="C8" s="15" t="n">
        <f aca="false">IF(Scores!$A8="","",MIN(Scores!F8,Scores!G8))</f>
        <v>1</v>
      </c>
      <c r="D8" s="15" t="n">
        <f aca="false">IF(Scores!$A8="","",MIN(C8,B8))</f>
        <v>0.67</v>
      </c>
      <c r="E8" s="15" t="n">
        <f aca="false">IF(Scores!$A8="","",MIN(Scores!C8,Scores!D8,Scores!E8,1-Scores!G8))</f>
        <v>0</v>
      </c>
      <c r="F8" s="15" t="n">
        <f aca="false">IF(Scores!$A8="","",MIN(E8,B8))</f>
        <v>0</v>
      </c>
      <c r="G8" s="15" t="n">
        <f aca="false">IF(Scores!$A8="","",MIN(Scores!C8,Scores!E8,1-Scores!H8,1-Scores!G8))</f>
        <v>0</v>
      </c>
      <c r="H8" s="15" t="n">
        <f aca="false">IF(Scores!$A8="","",MIN(G8,B8))</f>
        <v>0</v>
      </c>
    </row>
    <row r="9" customFormat="false" ht="15" hidden="false" customHeight="false" outlineLevel="0" collapsed="false">
      <c r="A9" s="12" t="str">
        <f aca="false">IF(Scores!$A9="","",Scores!A9)</f>
        <v>Dionysius the Renegade</v>
      </c>
      <c r="B9" s="15" t="n">
        <f aca="false">IF(Scores!$A9="","",Scores!I9)</f>
        <v>0</v>
      </c>
      <c r="C9" s="15" t="n">
        <f aca="false">IF(Scores!$A9="","",MIN(Scores!F9,Scores!G9))</f>
        <v>1</v>
      </c>
      <c r="D9" s="15" t="n">
        <f aca="false">IF(Scores!$A9="","",MIN(C9,B9))</f>
        <v>0</v>
      </c>
      <c r="E9" s="15" t="n">
        <f aca="false">IF(Scores!$A9="","",MIN(Scores!C9,Scores!D9,Scores!E9,1-Scores!G9))</f>
        <v>0</v>
      </c>
      <c r="F9" s="15" t="n">
        <f aca="false">IF(Scores!$A9="","",MIN(E9,B9))</f>
        <v>0</v>
      </c>
      <c r="G9" s="15" t="n">
        <f aca="false">IF(Scores!$A9="","",MIN(Scores!C9,Scores!E9,1-Scores!H9,1-Scores!G9))</f>
        <v>0</v>
      </c>
      <c r="H9" s="15" t="n">
        <f aca="false">IF(Scores!$A9="","",MIN(G9,B9))</f>
        <v>0</v>
      </c>
    </row>
    <row r="10" customFormat="false" ht="15" hidden="false" customHeight="false" outlineLevel="0" collapsed="false">
      <c r="A10" s="12" t="str">
        <f aca="false">IF(Scores!$A10="","",Scores!A10)</f>
        <v>Egnatius Celer</v>
      </c>
      <c r="B10" s="15" t="n">
        <f aca="false">IF(Scores!$A10="","",Scores!I10)</f>
        <v>0</v>
      </c>
      <c r="C10" s="15" t="n">
        <f aca="false">IF(Scores!$A10="","",MIN(Scores!F10,Scores!G10))</f>
        <v>0</v>
      </c>
      <c r="D10" s="15" t="n">
        <f aca="false">IF(Scores!$A10="","",MIN(C10,B10))</f>
        <v>0</v>
      </c>
      <c r="E10" s="15" t="n">
        <f aca="false">IF(Scores!$A10="","",MIN(Scores!C10,Scores!D10,Scores!E10,1-Scores!G10))</f>
        <v>0</v>
      </c>
      <c r="F10" s="15" t="n">
        <f aca="false">IF(Scores!$A10="","",MIN(E10,B10))</f>
        <v>0</v>
      </c>
      <c r="G10" s="15" t="n">
        <f aca="false">IF(Scores!$A10="","",MIN(Scores!C10,Scores!E10,1-Scores!H10,1-Scores!G10))</f>
        <v>0</v>
      </c>
      <c r="H10" s="15" t="n">
        <f aca="false">IF(Scores!$A10="","",MIN(G10,B10))</f>
        <v>0</v>
      </c>
    </row>
    <row r="11" customFormat="false" ht="15" hidden="false" customHeight="false" outlineLevel="0" collapsed="false">
      <c r="A11" s="12" t="str">
        <f aca="false">IF(Scores!$A11="","",Scores!A11)</f>
        <v>Musonius Rufus</v>
      </c>
      <c r="B11" s="15" t="n">
        <f aca="false">IF(Scores!$A11="","",Scores!I11)</f>
        <v>1</v>
      </c>
      <c r="C11" s="15" t="n">
        <f aca="false">IF(Scores!$A11="","",MIN(Scores!F11,Scores!G11))</f>
        <v>0</v>
      </c>
      <c r="D11" s="15" t="n">
        <f aca="false">IF(Scores!$A11="","",MIN(C11,B11))</f>
        <v>0</v>
      </c>
      <c r="E11" s="15" t="n">
        <f aca="false">IF(Scores!$A11="","",MIN(Scores!C11,Scores!D11,Scores!E11,1-Scores!G11))</f>
        <v>0</v>
      </c>
      <c r="F11" s="15" t="n">
        <f aca="false">IF(Scores!$A11="","",MIN(E11,B11))</f>
        <v>0</v>
      </c>
      <c r="G11" s="15" t="n">
        <f aca="false">IF(Scores!$A11="","",MIN(Scores!C11,Scores!E11,1-Scores!H11,1-Scores!G11))</f>
        <v>0</v>
      </c>
      <c r="H11" s="15" t="n">
        <f aca="false">IF(Scores!$A11="","",MIN(G11,B11))</f>
        <v>0</v>
      </c>
    </row>
    <row r="12" customFormat="false" ht="15" hidden="false" customHeight="false" outlineLevel="0" collapsed="false">
      <c r="A12" s="12" t="str">
        <f aca="false">IF(Scores!$A12="","",Scores!A12)</f>
        <v>Epictetus</v>
      </c>
      <c r="B12" s="15" t="n">
        <f aca="false">IF(Scores!$A12="","",Scores!I12)</f>
        <v>1</v>
      </c>
      <c r="C12" s="15" t="n">
        <f aca="false">IF(Scores!$A12="","",MIN(Scores!F12,Scores!G12))</f>
        <v>1</v>
      </c>
      <c r="D12" s="15" t="n">
        <f aca="false">IF(Scores!$A12="","",MIN(C12,B12))</f>
        <v>1</v>
      </c>
      <c r="E12" s="15" t="n">
        <f aca="false">IF(Scores!$A12="","",MIN(Scores!C12,Scores!D12,Scores!E12,1-Scores!G12))</f>
        <v>0</v>
      </c>
      <c r="F12" s="15" t="n">
        <f aca="false">IF(Scores!$A12="","",MIN(E12,B12))</f>
        <v>0</v>
      </c>
      <c r="G12" s="15" t="n">
        <f aca="false">IF(Scores!$A12="","",MIN(Scores!C12,Scores!E12,1-Scores!H12,1-Scores!G12))</f>
        <v>0</v>
      </c>
      <c r="H12" s="15" t="n">
        <f aca="false">IF(Scores!$A12="","",MIN(G12,B12))</f>
        <v>0</v>
      </c>
    </row>
    <row r="13" customFormat="false" ht="15" hidden="false" customHeight="false" outlineLevel="0" collapsed="false">
      <c r="A13" s="12" t="str">
        <f aca="false">IF(Scores!$A13="","",Scores!A13)</f>
        <v>Persaeus</v>
      </c>
      <c r="B13" s="15" t="n">
        <f aca="false">IF(Scores!$A13="","",Scores!I13)</f>
        <v>0.33</v>
      </c>
      <c r="C13" s="15" t="n">
        <f aca="false">IF(Scores!$A13="","",MIN(Scores!F13,Scores!G13))</f>
        <v>0</v>
      </c>
      <c r="D13" s="15" t="n">
        <f aca="false">IF(Scores!$A13="","",MIN(C13,B13))</f>
        <v>0</v>
      </c>
      <c r="E13" s="15" t="n">
        <f aca="false">IF(Scores!$A13="","",MIN(Scores!C13,Scores!D13,Scores!E13,1-Scores!G13))</f>
        <v>0.67</v>
      </c>
      <c r="F13" s="15" t="n">
        <f aca="false">IF(Scores!$A13="","",MIN(E13,B13))</f>
        <v>0.33</v>
      </c>
      <c r="G13" s="15" t="n">
        <f aca="false">IF(Scores!$A13="","",MIN(Scores!C13,Scores!E13,1-Scores!H13,1-Scores!G13))</f>
        <v>0</v>
      </c>
      <c r="H13" s="15" t="n">
        <f aca="false">IF(Scores!$A13="","",MIN(G13,B13))</f>
        <v>0</v>
      </c>
    </row>
    <row r="14" customFormat="false" ht="15" hidden="false" customHeight="false" outlineLevel="0" collapsed="false">
      <c r="A14" s="12" t="str">
        <f aca="false">IF(Scores!$A14="","",Scores!A14)</f>
        <v>Rutilius Rufus</v>
      </c>
      <c r="B14" s="15" t="n">
        <f aca="false">IF(Scores!$A14="","",Scores!I14)</f>
        <v>1</v>
      </c>
      <c r="C14" s="15" t="n">
        <f aca="false">IF(Scores!$A14="","",MIN(Scores!F14,Scores!G14))</f>
        <v>0</v>
      </c>
      <c r="D14" s="15" t="n">
        <f aca="false">IF(Scores!$A14="","",MIN(C14,B14))</f>
        <v>0</v>
      </c>
      <c r="E14" s="15" t="n">
        <f aca="false">IF(Scores!$A14="","",MIN(Scores!C14,Scores!D14,Scores!E14,1-Scores!G14))</f>
        <v>0.67</v>
      </c>
      <c r="F14" s="15" t="n">
        <f aca="false">IF(Scores!$A14="","",MIN(E14,B14))</f>
        <v>0.67</v>
      </c>
      <c r="G14" s="15" t="n">
        <f aca="false">IF(Scores!$A14="","",MIN(Scores!C14,Scores!E14,1-Scores!H14,1-Scores!G14))</f>
        <v>1</v>
      </c>
      <c r="H14" s="15" t="n">
        <f aca="false">IF(Scores!$A14="","",MIN(G14,B14))</f>
        <v>1</v>
      </c>
    </row>
    <row r="15" customFormat="false" ht="15" hidden="false" customHeight="false" outlineLevel="0" collapsed="false">
      <c r="A15" s="12" t="str">
        <f aca="false">IF(Scores!$A15="","",Scores!A15)</f>
        <v>Cato the Younger</v>
      </c>
      <c r="B15" s="15" t="n">
        <f aca="false">IF(Scores!$A15="","",Scores!I15)</f>
        <v>1</v>
      </c>
      <c r="C15" s="15" t="n">
        <f aca="false">IF(Scores!$A15="","",MIN(Scores!F15,Scores!G15))</f>
        <v>0</v>
      </c>
      <c r="D15" s="15" t="n">
        <f aca="false">IF(Scores!$A15="","",MIN(C15,B15))</f>
        <v>0</v>
      </c>
      <c r="E15" s="15" t="n">
        <f aca="false">IF(Scores!$A15="","",MIN(Scores!C15,Scores!D15,Scores!E15,1-Scores!G15))</f>
        <v>0.67</v>
      </c>
      <c r="F15" s="15" t="n">
        <f aca="false">IF(Scores!$A15="","",MIN(E15,B15))</f>
        <v>0.67</v>
      </c>
      <c r="G15" s="15" t="n">
        <f aca="false">IF(Scores!$A15="","",MIN(Scores!C15,Scores!E15,1-Scores!H15,1-Scores!G15))</f>
        <v>0.67</v>
      </c>
      <c r="H15" s="15" t="n">
        <f aca="false">IF(Scores!$A15="","",MIN(G15,B15))</f>
        <v>0.67</v>
      </c>
    </row>
    <row r="16" customFormat="false" ht="15" hidden="false" customHeight="false" outlineLevel="0" collapsed="false">
      <c r="A16" s="12" t="str">
        <f aca="false">IF(Scores!$A16="","",Scores!A16)</f>
        <v>Seneca</v>
      </c>
      <c r="B16" s="15" t="n">
        <f aca="false">IF(Scores!$A16="","",Scores!I16)</f>
        <v>0.33</v>
      </c>
      <c r="C16" s="15" t="n">
        <f aca="false">IF(Scores!$A16="","",MIN(Scores!F16,Scores!G16))</f>
        <v>0</v>
      </c>
      <c r="D16" s="15" t="n">
        <f aca="false">IF(Scores!$A16="","",MIN(C16,B16))</f>
        <v>0</v>
      </c>
      <c r="E16" s="15" t="n">
        <f aca="false">IF(Scores!$A16="","",MIN(Scores!C16,Scores!D16,Scores!E16,1-Scores!G16))</f>
        <v>0.67</v>
      </c>
      <c r="F16" s="15" t="n">
        <f aca="false">IF(Scores!$A16="","",MIN(E16,B16))</f>
        <v>0.33</v>
      </c>
      <c r="G16" s="15" t="n">
        <f aca="false">IF(Scores!$A16="","",MIN(Scores!C16,Scores!E16,1-Scores!H16,1-Scores!G16))</f>
        <v>0</v>
      </c>
      <c r="H16" s="15" t="n">
        <f aca="false">IF(Scores!$A16="","",MIN(G16,B16))</f>
        <v>0</v>
      </c>
    </row>
    <row r="17" customFormat="false" ht="15" hidden="false" customHeight="false" outlineLevel="0" collapsed="false">
      <c r="A17" s="12" t="str">
        <f aca="false">IF(Scores!$A17="","",Scores!A17)</f>
        <v>Thrasea Paetus</v>
      </c>
      <c r="B17" s="15" t="n">
        <f aca="false">IF(Scores!$A17="","",Scores!I17)</f>
        <v>1</v>
      </c>
      <c r="C17" s="15" t="n">
        <f aca="false">IF(Scores!$A17="","",MIN(Scores!F17,Scores!G17))</f>
        <v>0</v>
      </c>
      <c r="D17" s="15" t="n">
        <f aca="false">IF(Scores!$A17="","",MIN(C17,B17))</f>
        <v>0</v>
      </c>
      <c r="E17" s="15" t="n">
        <f aca="false">IF(Scores!$A17="","",MIN(Scores!C17,Scores!D17,Scores!E17,1-Scores!G17))</f>
        <v>0.67</v>
      </c>
      <c r="F17" s="15" t="n">
        <f aca="false">IF(Scores!$A17="","",MIN(E17,B17))</f>
        <v>0.67</v>
      </c>
      <c r="G17" s="15" t="n">
        <f aca="false">IF(Scores!$A17="","",MIN(Scores!C17,Scores!E17,1-Scores!H17,1-Scores!G17))</f>
        <v>1</v>
      </c>
      <c r="H17" s="15" t="n">
        <f aca="false">IF(Scores!$A17="","",MIN(G17,B17))</f>
        <v>1</v>
      </c>
    </row>
    <row r="18" customFormat="false" ht="15" hidden="false" customHeight="false" outlineLevel="0" collapsed="false">
      <c r="A18" s="12" t="str">
        <f aca="false">IF(Scores!$A18="","",Scores!A18)</f>
        <v>Helvidius Priscus</v>
      </c>
      <c r="B18" s="15" t="n">
        <f aca="false">IF(Scores!$A18="","",Scores!I18)</f>
        <v>1</v>
      </c>
      <c r="C18" s="15" t="n">
        <f aca="false">IF(Scores!$A18="","",MIN(Scores!F18,Scores!G18))</f>
        <v>0</v>
      </c>
      <c r="D18" s="15" t="n">
        <f aca="false">IF(Scores!$A18="","",MIN(C18,B18))</f>
        <v>0</v>
      </c>
      <c r="E18" s="15" t="n">
        <f aca="false">IF(Scores!$A18="","",MIN(Scores!C18,Scores!D18,Scores!E18,1-Scores!G18))</f>
        <v>0.67</v>
      </c>
      <c r="F18" s="15" t="n">
        <f aca="false">IF(Scores!$A18="","",MIN(E18,B18))</f>
        <v>0.67</v>
      </c>
      <c r="G18" s="15" t="n">
        <f aca="false">IF(Scores!$A18="","",MIN(Scores!C18,Scores!E18,1-Scores!H18,1-Scores!G18))</f>
        <v>0.67</v>
      </c>
      <c r="H18" s="15" t="n">
        <f aca="false">IF(Scores!$A18="","",MIN(G18,B18))</f>
        <v>0.67</v>
      </c>
    </row>
    <row r="19" customFormat="false" ht="15" hidden="false" customHeight="false" outlineLevel="0" collapsed="false">
      <c r="A19" s="12" t="str">
        <f aca="false">IF(Scores!$A19="","",Scores!A19)</f>
        <v>Marcus Aurelius</v>
      </c>
      <c r="B19" s="15" t="n">
        <f aca="false">IF(Scores!$A19="","",Scores!I19)</f>
        <v>0.67</v>
      </c>
      <c r="C19" s="15" t="n">
        <f aca="false">IF(Scores!$A19="","",MIN(Scores!F19,Scores!G19))</f>
        <v>0</v>
      </c>
      <c r="D19" s="15" t="n">
        <f aca="false">IF(Scores!$A19="","",MIN(C19,B19))</f>
        <v>0</v>
      </c>
      <c r="E19" s="15" t="n">
        <f aca="false">IF(Scores!$A19="","",MIN(Scores!C19,Scores!D19,Scores!E19,1-Scores!G19))</f>
        <v>0.67</v>
      </c>
      <c r="F19" s="15" t="n">
        <f aca="false">IF(Scores!$A19="","",MIN(E19,B19))</f>
        <v>0.67</v>
      </c>
      <c r="G19" s="15" t="n">
        <f aca="false">IF(Scores!$A19="","",MIN(Scores!C19,Scores!E19,1-Scores!H19,1-Scores!G19))</f>
        <v>0.67</v>
      </c>
      <c r="H19" s="15" t="n">
        <f aca="false">IF(Scores!$A19="","",MIN(G19,B19))</f>
        <v>0.67</v>
      </c>
    </row>
    <row r="20" customFormat="false" ht="15" hidden="false" customHeight="false" outlineLevel="0" collapsed="false">
      <c r="A20" s="12" t="str">
        <f aca="false">IF(Scores!$A20="","",Scores!A20)</f>
        <v/>
      </c>
      <c r="B20" s="15" t="str">
        <f aca="false">IF(Scores!$A20="","",Scores!I20)</f>
        <v/>
      </c>
      <c r="C20" s="15" t="str">
        <f aca="false">IF(Scores!$A20="","",MIN(Scores!F20,Scores!G20))</f>
        <v/>
      </c>
      <c r="D20" s="15" t="str">
        <f aca="false">IF(Scores!$A20="","",MIN(C20,B20))</f>
        <v/>
      </c>
      <c r="E20" s="15" t="str">
        <f aca="false">IF(Scores!$A20="","",MIN(Scores!C20,Scores!D20,Scores!E20,1-Scores!G20))</f>
        <v/>
      </c>
      <c r="F20" s="15" t="str">
        <f aca="false">IF(Scores!$A20="","",MIN(E20,B20))</f>
        <v/>
      </c>
      <c r="G20" s="15" t="str">
        <f aca="false">IF(Scores!$A20="","",MIN(Scores!C20,Scores!E20,1-Scores!H20,1-Scores!G20))</f>
        <v/>
      </c>
      <c r="H20" s="15" t="str">
        <f aca="false">IF(Scores!$A20="","",MIN(G20,B20))</f>
        <v/>
      </c>
    </row>
    <row r="21" customFormat="false" ht="15" hidden="false" customHeight="false" outlineLevel="0" collapsed="false">
      <c r="A21" s="12" t="str">
        <f aca="false">IF(Scores!$A21="","",Scores!A21)</f>
        <v/>
      </c>
      <c r="B21" s="15" t="str">
        <f aca="false">IF(Scores!$A21="","",Scores!I21)</f>
        <v/>
      </c>
      <c r="C21" s="15" t="str">
        <f aca="false">IF(Scores!$A21="","",MIN(Scores!F21,Scores!G21))</f>
        <v/>
      </c>
      <c r="D21" s="15" t="str">
        <f aca="false">IF(Scores!$A21="","",MIN(C21,B21))</f>
        <v/>
      </c>
      <c r="E21" s="15" t="str">
        <f aca="false">IF(Scores!$A21="","",MIN(Scores!C21,Scores!D21,Scores!E21,1-Scores!G21))</f>
        <v/>
      </c>
      <c r="F21" s="15" t="str">
        <f aca="false">IF(Scores!$A21="","",MIN(E21,B21))</f>
        <v/>
      </c>
      <c r="G21" s="15" t="str">
        <f aca="false">IF(Scores!$A21="","",MIN(Scores!C21,Scores!E21,1-Scores!H21,1-Scores!G21))</f>
        <v/>
      </c>
      <c r="H21" s="15" t="str">
        <f aca="false">IF(Scores!$A21="","",MIN(G21,B21))</f>
        <v/>
      </c>
    </row>
    <row r="22" customFormat="false" ht="15" hidden="false" customHeight="false" outlineLevel="0" collapsed="false">
      <c r="A22" s="12" t="str">
        <f aca="false">IF(Scores!$A22="","",Scores!A22)</f>
        <v/>
      </c>
      <c r="B22" s="15" t="str">
        <f aca="false">IF(Scores!$A22="","",Scores!I22)</f>
        <v/>
      </c>
      <c r="C22" s="15" t="str">
        <f aca="false">IF(Scores!$A22="","",MIN(Scores!F22,Scores!G22))</f>
        <v/>
      </c>
      <c r="D22" s="15" t="str">
        <f aca="false">IF(Scores!$A22="","",MIN(C22,B22))</f>
        <v/>
      </c>
      <c r="E22" s="15" t="str">
        <f aca="false">IF(Scores!$A22="","",MIN(Scores!C22,Scores!D22,Scores!E22,1-Scores!G22))</f>
        <v/>
      </c>
      <c r="F22" s="15" t="str">
        <f aca="false">IF(Scores!$A22="","",MIN(E22,B22))</f>
        <v/>
      </c>
      <c r="G22" s="15" t="str">
        <f aca="false">IF(Scores!$A22="","",MIN(Scores!C22,Scores!E22,1-Scores!H22,1-Scores!G22))</f>
        <v/>
      </c>
      <c r="H22" s="15" t="str">
        <f aca="false">IF(Scores!$A22="","",MIN(G22,B22))</f>
        <v/>
      </c>
    </row>
    <row r="23" customFormat="false" ht="15" hidden="false" customHeight="false" outlineLevel="0" collapsed="false">
      <c r="A23" s="12" t="str">
        <f aca="false">IF(Scores!$A23="","",Scores!A23)</f>
        <v/>
      </c>
      <c r="B23" s="15" t="str">
        <f aca="false">IF(Scores!$A23="","",Scores!I23)</f>
        <v/>
      </c>
      <c r="C23" s="15" t="str">
        <f aca="false">IF(Scores!$A23="","",MIN(Scores!F23,Scores!G23))</f>
        <v/>
      </c>
      <c r="D23" s="15" t="str">
        <f aca="false">IF(Scores!$A23="","",MIN(C23,B23))</f>
        <v/>
      </c>
      <c r="E23" s="15" t="str">
        <f aca="false">IF(Scores!$A23="","",MIN(Scores!C23,Scores!D23,Scores!E23,1-Scores!G23))</f>
        <v/>
      </c>
      <c r="F23" s="15" t="str">
        <f aca="false">IF(Scores!$A23="","",MIN(E23,B23))</f>
        <v/>
      </c>
      <c r="G23" s="15" t="str">
        <f aca="false">IF(Scores!$A23="","",MIN(Scores!C23,Scores!E23,1-Scores!H23,1-Scores!G23))</f>
        <v/>
      </c>
      <c r="H23" s="15" t="str">
        <f aca="false">IF(Scores!$A23="","",MIN(G23,B23))</f>
        <v/>
      </c>
    </row>
    <row r="24" customFormat="false" ht="15" hidden="false" customHeight="false" outlineLevel="0" collapsed="false">
      <c r="A24" s="12" t="str">
        <f aca="false">IF(Scores!$A24="","",Scores!A24)</f>
        <v/>
      </c>
      <c r="B24" s="15" t="str">
        <f aca="false">IF(Scores!$A24="","",Scores!I24)</f>
        <v/>
      </c>
      <c r="C24" s="15" t="str">
        <f aca="false">IF(Scores!$A24="","",MIN(Scores!F24,Scores!G24))</f>
        <v/>
      </c>
      <c r="D24" s="15" t="str">
        <f aca="false">IF(Scores!$A24="","",MIN(C24,B24))</f>
        <v/>
      </c>
      <c r="E24" s="15" t="str">
        <f aca="false">IF(Scores!$A24="","",MIN(Scores!C24,Scores!D24,Scores!E24,1-Scores!G24))</f>
        <v/>
      </c>
      <c r="F24" s="15" t="str">
        <f aca="false">IF(Scores!$A24="","",MIN(E24,B24))</f>
        <v/>
      </c>
      <c r="G24" s="15" t="str">
        <f aca="false">IF(Scores!$A24="","",MIN(Scores!C24,Scores!E24,1-Scores!H24,1-Scores!G24))</f>
        <v/>
      </c>
      <c r="H24" s="15" t="str">
        <f aca="false">IF(Scores!$A24="","",MIN(G24,B24))</f>
        <v/>
      </c>
    </row>
    <row r="25" customFormat="false" ht="15" hidden="false" customHeight="false" outlineLevel="0" collapsed="false">
      <c r="A25" s="12" t="str">
        <f aca="false">IF(Scores!$A25="","",Scores!A25)</f>
        <v/>
      </c>
      <c r="B25" s="15" t="str">
        <f aca="false">IF(Scores!$A25="","",Scores!I25)</f>
        <v/>
      </c>
      <c r="C25" s="15" t="str">
        <f aca="false">IF(Scores!$A25="","",MIN(Scores!F25,Scores!G25))</f>
        <v/>
      </c>
      <c r="D25" s="15" t="str">
        <f aca="false">IF(Scores!$A25="","",MIN(C25,B25))</f>
        <v/>
      </c>
      <c r="E25" s="15" t="str">
        <f aca="false">IF(Scores!$A25="","",MIN(Scores!C25,Scores!D25,Scores!E25,1-Scores!G25))</f>
        <v/>
      </c>
      <c r="F25" s="15" t="str">
        <f aca="false">IF(Scores!$A25="","",MIN(E25,B25))</f>
        <v/>
      </c>
      <c r="G25" s="15" t="str">
        <f aca="false">IF(Scores!$A25="","",MIN(Scores!C25,Scores!E25,1-Scores!H25,1-Scores!G25))</f>
        <v/>
      </c>
      <c r="H25" s="15" t="str">
        <f aca="false">IF(Scores!$A25="","",MIN(G25,B25))</f>
        <v/>
      </c>
    </row>
    <row r="26" customFormat="false" ht="15" hidden="false" customHeight="false" outlineLevel="0" collapsed="false">
      <c r="A26" s="12" t="str">
        <f aca="false">IF(Scores!$A26="","",Scores!A26)</f>
        <v/>
      </c>
      <c r="B26" s="15" t="str">
        <f aca="false">IF(Scores!$A26="","",Scores!I26)</f>
        <v/>
      </c>
      <c r="C26" s="15" t="str">
        <f aca="false">IF(Scores!$A26="","",MIN(Scores!F26,Scores!G26))</f>
        <v/>
      </c>
      <c r="D26" s="15" t="str">
        <f aca="false">IF(Scores!$A26="","",MIN(C26,B26))</f>
        <v/>
      </c>
      <c r="E26" s="15" t="str">
        <f aca="false">IF(Scores!$A26="","",MIN(Scores!C26,Scores!D26,Scores!E26,1-Scores!G26))</f>
        <v/>
      </c>
      <c r="F26" s="15" t="str">
        <f aca="false">IF(Scores!$A26="","",MIN(E26,B26))</f>
        <v/>
      </c>
      <c r="G26" s="15" t="str">
        <f aca="false">IF(Scores!$A26="","",MIN(Scores!C26,Scores!E26,1-Scores!H26,1-Scores!G26))</f>
        <v/>
      </c>
      <c r="H26" s="15" t="str">
        <f aca="false">IF(Scores!$A26="","",MIN(G26,B26))</f>
        <v/>
      </c>
    </row>
    <row r="27" customFormat="false" ht="15" hidden="false" customHeight="false" outlineLevel="0" collapsed="false">
      <c r="A27" s="12" t="str">
        <f aca="false">IF(Scores!$A27="","",Scores!A27)</f>
        <v/>
      </c>
      <c r="B27" s="15" t="str">
        <f aca="false">IF(Scores!$A27="","",Scores!I27)</f>
        <v/>
      </c>
      <c r="C27" s="15" t="str">
        <f aca="false">IF(Scores!$A27="","",MIN(Scores!F27,Scores!G27))</f>
        <v/>
      </c>
      <c r="D27" s="15" t="str">
        <f aca="false">IF(Scores!$A27="","",MIN(C27,B27))</f>
        <v/>
      </c>
      <c r="E27" s="15" t="str">
        <f aca="false">IF(Scores!$A27="","",MIN(Scores!C27,Scores!D27,Scores!E27,1-Scores!G27))</f>
        <v/>
      </c>
      <c r="F27" s="15" t="str">
        <f aca="false">IF(Scores!$A27="","",MIN(E27,B27))</f>
        <v/>
      </c>
      <c r="G27" s="15" t="str">
        <f aca="false">IF(Scores!$A27="","",MIN(Scores!C27,Scores!E27,1-Scores!H27,1-Scores!G27))</f>
        <v/>
      </c>
      <c r="H27" s="15" t="str">
        <f aca="false">IF(Scores!$A27="","",MIN(G27,B27))</f>
        <v/>
      </c>
    </row>
    <row r="28" customFormat="false" ht="15" hidden="false" customHeight="false" outlineLevel="0" collapsed="false">
      <c r="A28" s="12" t="str">
        <f aca="false">IF(Scores!$A28="","",Scores!A28)</f>
        <v/>
      </c>
      <c r="B28" s="15" t="str">
        <f aca="false">IF(Scores!$A28="","",Scores!I28)</f>
        <v/>
      </c>
      <c r="C28" s="15" t="str">
        <f aca="false">IF(Scores!$A28="","",MIN(Scores!F28,Scores!G28))</f>
        <v/>
      </c>
      <c r="D28" s="15" t="str">
        <f aca="false">IF(Scores!$A28="","",MIN(C28,B28))</f>
        <v/>
      </c>
      <c r="E28" s="15" t="str">
        <f aca="false">IF(Scores!$A28="","",MIN(Scores!C28,Scores!D28,Scores!E28,1-Scores!G28))</f>
        <v/>
      </c>
      <c r="F28" s="15" t="str">
        <f aca="false">IF(Scores!$A28="","",MIN(E28,B28))</f>
        <v/>
      </c>
      <c r="G28" s="15" t="str">
        <f aca="false">IF(Scores!$A28="","",MIN(Scores!C28,Scores!E28,1-Scores!H28,1-Scores!G28))</f>
        <v/>
      </c>
      <c r="H28" s="15" t="str">
        <f aca="false">IF(Scores!$A28="","",MIN(G28,B28))</f>
        <v/>
      </c>
    </row>
    <row r="29" customFormat="false" ht="15" hidden="false" customHeight="false" outlineLevel="0" collapsed="false">
      <c r="A29" s="12" t="str">
        <f aca="false">IF(Scores!$A29="","",Scores!A29)</f>
        <v/>
      </c>
      <c r="B29" s="15" t="str">
        <f aca="false">IF(Scores!$A29="","",Scores!I29)</f>
        <v/>
      </c>
      <c r="C29" s="15" t="str">
        <f aca="false">IF(Scores!$A29="","",MIN(Scores!F29,Scores!G29))</f>
        <v/>
      </c>
      <c r="D29" s="15" t="str">
        <f aca="false">IF(Scores!$A29="","",MIN(C29,B29))</f>
        <v/>
      </c>
      <c r="E29" s="15" t="str">
        <f aca="false">IF(Scores!$A29="","",MIN(Scores!C29,Scores!D29,Scores!E29,1-Scores!G29))</f>
        <v/>
      </c>
      <c r="F29" s="15" t="str">
        <f aca="false">IF(Scores!$A29="","",MIN(E29,B29))</f>
        <v/>
      </c>
      <c r="G29" s="15" t="str">
        <f aca="false">IF(Scores!$A29="","",MIN(Scores!C29,Scores!E29,1-Scores!H29,1-Scores!G29))</f>
        <v/>
      </c>
      <c r="H29" s="15" t="str">
        <f aca="false">IF(Scores!$A29="","",MIN(G29,B29))</f>
        <v/>
      </c>
    </row>
    <row r="30" customFormat="false" ht="15" hidden="false" customHeight="false" outlineLevel="0" collapsed="false">
      <c r="A30" s="12" t="str">
        <f aca="false">IF(Scores!$A30="","",Scores!A30)</f>
        <v/>
      </c>
      <c r="B30" s="15" t="str">
        <f aca="false">IF(Scores!$A30="","",Scores!I30)</f>
        <v/>
      </c>
      <c r="C30" s="15" t="str">
        <f aca="false">IF(Scores!$A30="","",MIN(Scores!F30,Scores!G30))</f>
        <v/>
      </c>
      <c r="D30" s="15" t="str">
        <f aca="false">IF(Scores!$A30="","",MIN(C30,B30))</f>
        <v/>
      </c>
      <c r="E30" s="15" t="str">
        <f aca="false">IF(Scores!$A30="","",MIN(Scores!C30,Scores!D30,Scores!E30,1-Scores!G30))</f>
        <v/>
      </c>
      <c r="F30" s="15" t="str">
        <f aca="false">IF(Scores!$A30="","",MIN(E30,B30))</f>
        <v/>
      </c>
      <c r="G30" s="15" t="str">
        <f aca="false">IF(Scores!$A30="","",MIN(Scores!C30,Scores!E30,1-Scores!H30,1-Scores!G30))</f>
        <v/>
      </c>
      <c r="H30" s="15" t="str">
        <f aca="false">IF(Scores!$A30="","",MIN(G30,B30))</f>
        <v/>
      </c>
    </row>
    <row r="31" customFormat="false" ht="15" hidden="false" customHeight="false" outlineLevel="0" collapsed="false">
      <c r="A31" s="12" t="str">
        <f aca="false">IF(Scores!$A31="","",Scores!A31)</f>
        <v/>
      </c>
      <c r="B31" s="15" t="str">
        <f aca="false">IF(Scores!$A31="","",Scores!I31)</f>
        <v/>
      </c>
      <c r="C31" s="15" t="str">
        <f aca="false">IF(Scores!$A31="","",MIN(Scores!F31,Scores!G31))</f>
        <v/>
      </c>
      <c r="D31" s="15" t="str">
        <f aca="false">IF(Scores!$A31="","",MIN(C31,B31))</f>
        <v/>
      </c>
      <c r="E31" s="15" t="str">
        <f aca="false">IF(Scores!$A31="","",MIN(Scores!C31,Scores!D31,Scores!E31,1-Scores!G31))</f>
        <v/>
      </c>
      <c r="F31" s="15" t="str">
        <f aca="false">IF(Scores!$A31="","",MIN(E31,B31))</f>
        <v/>
      </c>
      <c r="G31" s="15" t="str">
        <f aca="false">IF(Scores!$A31="","",MIN(Scores!C31,Scores!E31,1-Scores!H31,1-Scores!G31))</f>
        <v/>
      </c>
      <c r="H31" s="15" t="str">
        <f aca="false">IF(Scores!$A31="","",MIN(G31,B31))</f>
        <v/>
      </c>
    </row>
    <row r="32" customFormat="false" ht="15" hidden="false" customHeight="false" outlineLevel="0" collapsed="false">
      <c r="A32" s="12" t="str">
        <f aca="false">IF(Scores!$A32="","",Scores!A32)</f>
        <v/>
      </c>
      <c r="B32" s="15" t="str">
        <f aca="false">IF(Scores!$A32="","",Scores!I32)</f>
        <v/>
      </c>
      <c r="C32" s="15" t="str">
        <f aca="false">IF(Scores!$A32="","",MIN(Scores!F32,Scores!G32))</f>
        <v/>
      </c>
      <c r="D32" s="15" t="str">
        <f aca="false">IF(Scores!$A32="","",MIN(C32,B32))</f>
        <v/>
      </c>
      <c r="E32" s="15" t="str">
        <f aca="false">IF(Scores!$A32="","",MIN(Scores!C32,Scores!D32,Scores!E32,1-Scores!G32))</f>
        <v/>
      </c>
      <c r="F32" s="15" t="str">
        <f aca="false">IF(Scores!$A32="","",MIN(E32,B32))</f>
        <v/>
      </c>
      <c r="G32" s="15" t="str">
        <f aca="false">IF(Scores!$A32="","",MIN(Scores!C32,Scores!E32,1-Scores!H32,1-Scores!G32))</f>
        <v/>
      </c>
      <c r="H32" s="15" t="str">
        <f aca="false">IF(Scores!$A32="","",MIN(G32,B32))</f>
        <v/>
      </c>
    </row>
    <row r="33" customFormat="false" ht="15" hidden="false" customHeight="false" outlineLevel="0" collapsed="false">
      <c r="A33" s="12" t="str">
        <f aca="false">IF(Scores!$A33="","",Scores!A33)</f>
        <v/>
      </c>
      <c r="B33" s="15" t="str">
        <f aca="false">IF(Scores!$A33="","",Scores!I33)</f>
        <v/>
      </c>
      <c r="C33" s="15" t="str">
        <f aca="false">IF(Scores!$A33="","",MIN(Scores!F33,Scores!G33))</f>
        <v/>
      </c>
      <c r="D33" s="15" t="str">
        <f aca="false">IF(Scores!$A33="","",MIN(C33,B33))</f>
        <v/>
      </c>
      <c r="E33" s="15" t="str">
        <f aca="false">IF(Scores!$A33="","",MIN(Scores!C33,Scores!D33,Scores!E33,1-Scores!G33))</f>
        <v/>
      </c>
      <c r="F33" s="15" t="str">
        <f aca="false">IF(Scores!$A33="","",MIN(E33,B33))</f>
        <v/>
      </c>
      <c r="G33" s="15" t="str">
        <f aca="false">IF(Scores!$A33="","",MIN(Scores!C33,Scores!E33,1-Scores!H33,1-Scores!G33))</f>
        <v/>
      </c>
      <c r="H33" s="15" t="str">
        <f aca="false">IF(Scores!$A33="","",MIN(G33,B33))</f>
        <v/>
      </c>
    </row>
    <row r="34" customFormat="false" ht="15" hidden="false" customHeight="false" outlineLevel="0" collapsed="false">
      <c r="A34" s="12" t="str">
        <f aca="false">IF(Scores!$A34="","",Scores!A34)</f>
        <v/>
      </c>
      <c r="B34" s="15" t="str">
        <f aca="false">IF(Scores!$A34="","",Scores!I34)</f>
        <v/>
      </c>
      <c r="C34" s="15" t="str">
        <f aca="false">IF(Scores!$A34="","",MIN(Scores!F34,Scores!G34))</f>
        <v/>
      </c>
      <c r="D34" s="15" t="str">
        <f aca="false">IF(Scores!$A34="","",MIN(C34,B34))</f>
        <v/>
      </c>
      <c r="E34" s="15" t="str">
        <f aca="false">IF(Scores!$A34="","",MIN(Scores!C34,Scores!D34,Scores!E34,1-Scores!G34))</f>
        <v/>
      </c>
      <c r="F34" s="15" t="str">
        <f aca="false">IF(Scores!$A34="","",MIN(E34,B34))</f>
        <v/>
      </c>
      <c r="G34" s="15" t="str">
        <f aca="false">IF(Scores!$A34="","",MIN(Scores!C34,Scores!E34,1-Scores!H34,1-Scores!G34))</f>
        <v/>
      </c>
      <c r="H34" s="15" t="str">
        <f aca="false">IF(Scores!$A34="","",MIN(G34,B34))</f>
        <v/>
      </c>
    </row>
    <row r="35" customFormat="false" ht="15" hidden="false" customHeight="false" outlineLevel="0" collapsed="false">
      <c r="A35" s="12" t="str">
        <f aca="false">IF(Scores!$A35="","",Scores!A35)</f>
        <v/>
      </c>
      <c r="B35" s="15" t="str">
        <f aca="false">IF(Scores!$A35="","",Scores!I35)</f>
        <v/>
      </c>
      <c r="C35" s="15" t="str">
        <f aca="false">IF(Scores!$A35="","",MIN(Scores!F35,Scores!G35))</f>
        <v/>
      </c>
      <c r="D35" s="15" t="str">
        <f aca="false">IF(Scores!$A35="","",MIN(C35,B35))</f>
        <v/>
      </c>
      <c r="E35" s="15" t="str">
        <f aca="false">IF(Scores!$A35="","",MIN(Scores!C35,Scores!D35,Scores!E35,1-Scores!G35))</f>
        <v/>
      </c>
      <c r="F35" s="15" t="str">
        <f aca="false">IF(Scores!$A35="","",MIN(E35,B35))</f>
        <v/>
      </c>
      <c r="G35" s="15" t="str">
        <f aca="false">IF(Scores!$A35="","",MIN(Scores!C35,Scores!E35,1-Scores!H35,1-Scores!G35))</f>
        <v/>
      </c>
      <c r="H35" s="15" t="str">
        <f aca="false">IF(Scores!$A35="","",MIN(G35,B35))</f>
        <v/>
      </c>
    </row>
    <row r="36" customFormat="false" ht="15" hidden="false" customHeight="false" outlineLevel="0" collapsed="false">
      <c r="A36" s="12" t="str">
        <f aca="false">IF(Scores!$A36="","",Scores!A36)</f>
        <v/>
      </c>
      <c r="B36" s="15" t="str">
        <f aca="false">IF(Scores!$A36="","",Scores!I36)</f>
        <v/>
      </c>
      <c r="C36" s="15" t="str">
        <f aca="false">IF(Scores!$A36="","",MIN(Scores!F36,Scores!G36))</f>
        <v/>
      </c>
      <c r="D36" s="15" t="str">
        <f aca="false">IF(Scores!$A36="","",MIN(C36,B36))</f>
        <v/>
      </c>
      <c r="E36" s="15" t="str">
        <f aca="false">IF(Scores!$A36="","",MIN(Scores!C36,Scores!D36,Scores!E36,1-Scores!G36))</f>
        <v/>
      </c>
      <c r="F36" s="15" t="str">
        <f aca="false">IF(Scores!$A36="","",MIN(E36,B36))</f>
        <v/>
      </c>
      <c r="G36" s="15" t="str">
        <f aca="false">IF(Scores!$A36="","",MIN(Scores!C36,Scores!E36,1-Scores!H36,1-Scores!G36))</f>
        <v/>
      </c>
      <c r="H36" s="15" t="str">
        <f aca="false">IF(Scores!$A36="","",MIN(G36,B36))</f>
        <v/>
      </c>
    </row>
    <row r="37" customFormat="false" ht="15" hidden="false" customHeight="false" outlineLevel="0" collapsed="false">
      <c r="A37" s="12" t="str">
        <f aca="false">IF(Scores!$A37="","",Scores!A37)</f>
        <v/>
      </c>
      <c r="B37" s="15" t="str">
        <f aca="false">IF(Scores!$A37="","",Scores!I37)</f>
        <v/>
      </c>
      <c r="C37" s="15" t="str">
        <f aca="false">IF(Scores!$A37="","",MIN(Scores!F37,Scores!G37))</f>
        <v/>
      </c>
      <c r="D37" s="15" t="str">
        <f aca="false">IF(Scores!$A37="","",MIN(C37,B37))</f>
        <v/>
      </c>
      <c r="E37" s="15" t="str">
        <f aca="false">IF(Scores!$A37="","",MIN(Scores!C37,Scores!D37,Scores!E37,1-Scores!G37))</f>
        <v/>
      </c>
      <c r="F37" s="15" t="str">
        <f aca="false">IF(Scores!$A37="","",MIN(E37,B37))</f>
        <v/>
      </c>
      <c r="G37" s="15" t="str">
        <f aca="false">IF(Scores!$A37="","",MIN(Scores!C37,Scores!E37,1-Scores!H37,1-Scores!G37))</f>
        <v/>
      </c>
      <c r="H37" s="15" t="str">
        <f aca="false">IF(Scores!$A37="","",MIN(G37,B37))</f>
        <v/>
      </c>
    </row>
    <row r="38" customFormat="false" ht="15" hidden="false" customHeight="false" outlineLevel="0" collapsed="false">
      <c r="A38" s="12" t="str">
        <f aca="false">IF(Scores!$A38="","",Scores!A38)</f>
        <v/>
      </c>
      <c r="B38" s="15" t="str">
        <f aca="false">IF(Scores!$A38="","",Scores!I38)</f>
        <v/>
      </c>
      <c r="C38" s="15" t="str">
        <f aca="false">IF(Scores!$A38="","",MIN(Scores!F38,Scores!G38))</f>
        <v/>
      </c>
      <c r="D38" s="15" t="str">
        <f aca="false">IF(Scores!$A38="","",MIN(C38,B38))</f>
        <v/>
      </c>
      <c r="E38" s="15" t="str">
        <f aca="false">IF(Scores!$A38="","",MIN(Scores!C38,Scores!D38,Scores!E38,1-Scores!G38))</f>
        <v/>
      </c>
      <c r="F38" s="15" t="str">
        <f aca="false">IF(Scores!$A38="","",MIN(E38,B38))</f>
        <v/>
      </c>
      <c r="G38" s="15" t="str">
        <f aca="false">IF(Scores!$A38="","",MIN(Scores!C38,Scores!E38,1-Scores!H38,1-Scores!G38))</f>
        <v/>
      </c>
      <c r="H38" s="15" t="str">
        <f aca="false">IF(Scores!$A38="","",MIN(G38,B38))</f>
        <v/>
      </c>
    </row>
    <row r="39" customFormat="false" ht="15" hidden="false" customHeight="false" outlineLevel="0" collapsed="false">
      <c r="A39" s="12" t="str">
        <f aca="false">IF(Scores!$A39="","",Scores!A39)</f>
        <v/>
      </c>
      <c r="B39" s="15" t="str">
        <f aca="false">IF(Scores!$A39="","",Scores!I39)</f>
        <v/>
      </c>
      <c r="C39" s="15" t="str">
        <f aca="false">IF(Scores!$A39="","",MIN(Scores!F39,Scores!G39))</f>
        <v/>
      </c>
      <c r="D39" s="15" t="str">
        <f aca="false">IF(Scores!$A39="","",MIN(C39,B39))</f>
        <v/>
      </c>
      <c r="E39" s="15" t="str">
        <f aca="false">IF(Scores!$A39="","",MIN(Scores!C39,Scores!D39,Scores!E39,1-Scores!G39))</f>
        <v/>
      </c>
      <c r="F39" s="15" t="str">
        <f aca="false">IF(Scores!$A39="","",MIN(E39,B39))</f>
        <v/>
      </c>
      <c r="G39" s="15" t="str">
        <f aca="false">IF(Scores!$A39="","",MIN(Scores!C39,Scores!E39,1-Scores!H39,1-Scores!G39))</f>
        <v/>
      </c>
      <c r="H39" s="15" t="str">
        <f aca="false">IF(Scores!$A39="","",MIN(G39,B39))</f>
        <v/>
      </c>
    </row>
    <row r="40" customFormat="false" ht="15" hidden="false" customHeight="false" outlineLevel="0" collapsed="false">
      <c r="A40" s="12" t="str">
        <f aca="false">IF(Scores!$A40="","",Scores!A40)</f>
        <v/>
      </c>
      <c r="B40" s="15" t="str">
        <f aca="false">IF(Scores!$A40="","",Scores!I40)</f>
        <v/>
      </c>
      <c r="C40" s="15" t="str">
        <f aca="false">IF(Scores!$A40="","",MIN(Scores!F40,Scores!G40))</f>
        <v/>
      </c>
      <c r="D40" s="15" t="str">
        <f aca="false">IF(Scores!$A40="","",MIN(C40,B40))</f>
        <v/>
      </c>
      <c r="E40" s="15" t="str">
        <f aca="false">IF(Scores!$A40="","",MIN(Scores!C40,Scores!D40,Scores!E40,1-Scores!G40))</f>
        <v/>
      </c>
      <c r="F40" s="15" t="str">
        <f aca="false">IF(Scores!$A40="","",MIN(E40,B40))</f>
        <v/>
      </c>
      <c r="G40" s="15" t="str">
        <f aca="false">IF(Scores!$A40="","",MIN(Scores!C40,Scores!E40,1-Scores!H40,1-Scores!G40))</f>
        <v/>
      </c>
      <c r="H40" s="15" t="str">
        <f aca="false">IF(Scores!$A40="","",MIN(G40,B40))</f>
        <v/>
      </c>
    </row>
    <row r="41" customFormat="false" ht="15" hidden="false" customHeight="false" outlineLevel="0" collapsed="false">
      <c r="A41" s="12" t="str">
        <f aca="false">IF(Scores!$A41="","",Scores!A41)</f>
        <v/>
      </c>
      <c r="B41" s="15" t="str">
        <f aca="false">IF(Scores!$A41="","",Scores!I41)</f>
        <v/>
      </c>
      <c r="C41" s="15" t="str">
        <f aca="false">IF(Scores!$A41="","",MIN(Scores!F41,Scores!G41))</f>
        <v/>
      </c>
      <c r="D41" s="15" t="str">
        <f aca="false">IF(Scores!$A41="","",MIN(C41,B41))</f>
        <v/>
      </c>
      <c r="E41" s="15" t="str">
        <f aca="false">IF(Scores!$A41="","",MIN(Scores!C41,Scores!D41,Scores!E41,1-Scores!G41))</f>
        <v/>
      </c>
      <c r="F41" s="15" t="str">
        <f aca="false">IF(Scores!$A41="","",MIN(E41,B41))</f>
        <v/>
      </c>
      <c r="G41" s="15" t="str">
        <f aca="false">IF(Scores!$A41="","",MIN(Scores!C41,Scores!E41,1-Scores!H41,1-Scores!G41))</f>
        <v/>
      </c>
      <c r="H41" s="15" t="str">
        <f aca="false">IF(Scores!$A41="","",MIN(G41,B41))</f>
        <v/>
      </c>
    </row>
    <row r="42" customFormat="false" ht="15" hidden="false" customHeight="false" outlineLevel="0" collapsed="false">
      <c r="A42" s="12" t="str">
        <f aca="false">IF(Scores!$A42="","",Scores!A42)</f>
        <v/>
      </c>
      <c r="B42" s="15" t="str">
        <f aca="false">IF(Scores!$A42="","",Scores!I42)</f>
        <v/>
      </c>
      <c r="C42" s="15" t="str">
        <f aca="false">IF(Scores!$A42="","",MIN(Scores!F42,Scores!G42))</f>
        <v/>
      </c>
      <c r="D42" s="15" t="str">
        <f aca="false">IF(Scores!$A42="","",MIN(C42,B42))</f>
        <v/>
      </c>
      <c r="E42" s="15" t="str">
        <f aca="false">IF(Scores!$A42="","",MIN(Scores!C42,Scores!D42,Scores!E42,1-Scores!G42))</f>
        <v/>
      </c>
      <c r="F42" s="15" t="str">
        <f aca="false">IF(Scores!$A42="","",MIN(E42,B42))</f>
        <v/>
      </c>
      <c r="G42" s="15" t="str">
        <f aca="false">IF(Scores!$A42="","",MIN(Scores!C42,Scores!E42,1-Scores!H42,1-Scores!G42))</f>
        <v/>
      </c>
      <c r="H42" s="15" t="str">
        <f aca="false">IF(Scores!$A42="","",MIN(G42,B42))</f>
        <v/>
      </c>
    </row>
    <row r="43" customFormat="false" ht="15" hidden="false" customHeight="false" outlineLevel="0" collapsed="false">
      <c r="A43" s="12" t="str">
        <f aca="false">IF(Scores!$A43="","",Scores!A43)</f>
        <v/>
      </c>
      <c r="B43" s="15" t="str">
        <f aca="false">IF(Scores!$A43="","",Scores!I43)</f>
        <v/>
      </c>
      <c r="C43" s="15" t="str">
        <f aca="false">IF(Scores!$A43="","",MIN(Scores!F43,Scores!G43))</f>
        <v/>
      </c>
      <c r="D43" s="15" t="str">
        <f aca="false">IF(Scores!$A43="","",MIN(C43,B43))</f>
        <v/>
      </c>
      <c r="E43" s="15" t="str">
        <f aca="false">IF(Scores!$A43="","",MIN(Scores!C43,Scores!D43,Scores!E43,1-Scores!G43))</f>
        <v/>
      </c>
      <c r="F43" s="15" t="str">
        <f aca="false">IF(Scores!$A43="","",MIN(E43,B43))</f>
        <v/>
      </c>
      <c r="G43" s="15" t="str">
        <f aca="false">IF(Scores!$A43="","",MIN(Scores!C43,Scores!E43,1-Scores!H43,1-Scores!G43))</f>
        <v/>
      </c>
      <c r="H43" s="15" t="str">
        <f aca="false">IF(Scores!$A43="","",MIN(G43,B43))</f>
        <v/>
      </c>
    </row>
    <row r="44" customFormat="false" ht="15" hidden="false" customHeight="false" outlineLevel="0" collapsed="false">
      <c r="A44" s="12" t="str">
        <f aca="false">IF(Scores!$A44="","",Scores!A44)</f>
        <v/>
      </c>
      <c r="B44" s="15" t="str">
        <f aca="false">IF(Scores!$A44="","",Scores!I44)</f>
        <v/>
      </c>
      <c r="C44" s="15" t="str">
        <f aca="false">IF(Scores!$A44="","",MIN(Scores!F44,Scores!G44))</f>
        <v/>
      </c>
      <c r="D44" s="15" t="str">
        <f aca="false">IF(Scores!$A44="","",MIN(C44,B44))</f>
        <v/>
      </c>
      <c r="E44" s="15" t="str">
        <f aca="false">IF(Scores!$A44="","",MIN(Scores!C44,Scores!D44,Scores!E44,1-Scores!G44))</f>
        <v/>
      </c>
      <c r="F44" s="15" t="str">
        <f aca="false">IF(Scores!$A44="","",MIN(E44,B44))</f>
        <v/>
      </c>
      <c r="G44" s="15" t="str">
        <f aca="false">IF(Scores!$A44="","",MIN(Scores!C44,Scores!E44,1-Scores!H44,1-Scores!G44))</f>
        <v/>
      </c>
      <c r="H44" s="15" t="str">
        <f aca="false">IF(Scores!$A44="","",MIN(G44,B44))</f>
        <v/>
      </c>
    </row>
    <row r="45" customFormat="false" ht="15" hidden="false" customHeight="false" outlineLevel="0" collapsed="false">
      <c r="A45" s="12" t="str">
        <f aca="false">IF(Scores!$A45="","",Scores!A45)</f>
        <v/>
      </c>
      <c r="B45" s="15" t="str">
        <f aca="false">IF(Scores!$A45="","",Scores!I45)</f>
        <v/>
      </c>
      <c r="C45" s="15" t="str">
        <f aca="false">IF(Scores!$A45="","",MIN(Scores!F45,Scores!G45))</f>
        <v/>
      </c>
      <c r="D45" s="15" t="str">
        <f aca="false">IF(Scores!$A45="","",MIN(C45,B45))</f>
        <v/>
      </c>
      <c r="E45" s="15" t="str">
        <f aca="false">IF(Scores!$A45="","",MIN(Scores!C45,Scores!D45,Scores!E45,1-Scores!G45))</f>
        <v/>
      </c>
      <c r="F45" s="15" t="str">
        <f aca="false">IF(Scores!$A45="","",MIN(E45,B45))</f>
        <v/>
      </c>
      <c r="G45" s="15" t="str">
        <f aca="false">IF(Scores!$A45="","",MIN(Scores!C45,Scores!E45,1-Scores!H45,1-Scores!G45))</f>
        <v/>
      </c>
      <c r="H45" s="15" t="str">
        <f aca="false">IF(Scores!$A45="","",MIN(G45,B45))</f>
        <v/>
      </c>
    </row>
    <row r="46" customFormat="false" ht="15" hidden="false" customHeight="false" outlineLevel="0" collapsed="false">
      <c r="A46" s="12" t="str">
        <f aca="false">IF(Scores!$A46="","",Scores!A46)</f>
        <v/>
      </c>
      <c r="B46" s="15" t="str">
        <f aca="false">IF(Scores!$A46="","",Scores!I46)</f>
        <v/>
      </c>
      <c r="C46" s="15" t="str">
        <f aca="false">IF(Scores!$A46="","",MIN(Scores!F46,Scores!G46))</f>
        <v/>
      </c>
      <c r="D46" s="15" t="str">
        <f aca="false">IF(Scores!$A46="","",MIN(C46,B46))</f>
        <v/>
      </c>
      <c r="E46" s="15" t="str">
        <f aca="false">IF(Scores!$A46="","",MIN(Scores!C46,Scores!D46,Scores!E46,1-Scores!G46))</f>
        <v/>
      </c>
      <c r="F46" s="15" t="str">
        <f aca="false">IF(Scores!$A46="","",MIN(E46,B46))</f>
        <v/>
      </c>
      <c r="G46" s="15" t="str">
        <f aca="false">IF(Scores!$A46="","",MIN(Scores!C46,Scores!E46,1-Scores!H46,1-Scores!G46))</f>
        <v/>
      </c>
      <c r="H46" s="15" t="str">
        <f aca="false">IF(Scores!$A46="","",MIN(G46,B46))</f>
        <v/>
      </c>
    </row>
    <row r="47" customFormat="false" ht="15" hidden="false" customHeight="false" outlineLevel="0" collapsed="false">
      <c r="A47" s="12" t="str">
        <f aca="false">IF(Scores!$A47="","",Scores!A47)</f>
        <v/>
      </c>
      <c r="B47" s="15" t="str">
        <f aca="false">IF(Scores!$A47="","",Scores!I47)</f>
        <v/>
      </c>
      <c r="C47" s="15" t="str">
        <f aca="false">IF(Scores!$A47="","",MIN(Scores!F47,Scores!G47))</f>
        <v/>
      </c>
      <c r="D47" s="15" t="str">
        <f aca="false">IF(Scores!$A47="","",MIN(C47,B47))</f>
        <v/>
      </c>
      <c r="E47" s="15" t="str">
        <f aca="false">IF(Scores!$A47="","",MIN(Scores!C47,Scores!D47,Scores!E47,1-Scores!G47))</f>
        <v/>
      </c>
      <c r="F47" s="15" t="str">
        <f aca="false">IF(Scores!$A47="","",MIN(E47,B47))</f>
        <v/>
      </c>
      <c r="G47" s="15" t="str">
        <f aca="false">IF(Scores!$A47="","",MIN(Scores!C47,Scores!E47,1-Scores!H47,1-Scores!G47))</f>
        <v/>
      </c>
      <c r="H47" s="15" t="str">
        <f aca="false">IF(Scores!$A47="","",MIN(G47,B47))</f>
        <v/>
      </c>
    </row>
    <row r="48" customFormat="false" ht="15" hidden="false" customHeight="false" outlineLevel="0" collapsed="false">
      <c r="A48" s="12" t="str">
        <f aca="false">IF(Scores!$A48="","",Scores!A48)</f>
        <v/>
      </c>
      <c r="B48" s="15" t="str">
        <f aca="false">IF(Scores!$A48="","",Scores!I48)</f>
        <v/>
      </c>
      <c r="C48" s="15" t="str">
        <f aca="false">IF(Scores!$A48="","",MIN(Scores!F48,Scores!G48))</f>
        <v/>
      </c>
      <c r="D48" s="15" t="str">
        <f aca="false">IF(Scores!$A48="","",MIN(C48,B48))</f>
        <v/>
      </c>
      <c r="E48" s="15" t="str">
        <f aca="false">IF(Scores!$A48="","",MIN(Scores!C48,Scores!D48,Scores!E48,1-Scores!G48))</f>
        <v/>
      </c>
      <c r="F48" s="15" t="str">
        <f aca="false">IF(Scores!$A48="","",MIN(E48,B48))</f>
        <v/>
      </c>
      <c r="G48" s="15" t="str">
        <f aca="false">IF(Scores!$A48="","",MIN(Scores!C48,Scores!E48,1-Scores!H48,1-Scores!G48))</f>
        <v/>
      </c>
      <c r="H48" s="15" t="str">
        <f aca="false">IF(Scores!$A48="","",MIN(G48,B48))</f>
        <v/>
      </c>
    </row>
    <row r="49" customFormat="false" ht="15" hidden="false" customHeight="false" outlineLevel="0" collapsed="false">
      <c r="A49" s="12" t="str">
        <f aca="false">IF(Scores!$A49="","",Scores!A49)</f>
        <v/>
      </c>
      <c r="B49" s="15" t="str">
        <f aca="false">IF(Scores!$A49="","",Scores!I49)</f>
        <v/>
      </c>
      <c r="C49" s="15" t="str">
        <f aca="false">IF(Scores!$A49="","",MIN(Scores!F49,Scores!G49))</f>
        <v/>
      </c>
      <c r="D49" s="15" t="str">
        <f aca="false">IF(Scores!$A49="","",MIN(C49,B49))</f>
        <v/>
      </c>
      <c r="E49" s="15" t="str">
        <f aca="false">IF(Scores!$A49="","",MIN(Scores!C49,Scores!D49,Scores!E49,1-Scores!G49))</f>
        <v/>
      </c>
      <c r="F49" s="15" t="str">
        <f aca="false">IF(Scores!$A49="","",MIN(E49,B49))</f>
        <v/>
      </c>
      <c r="G49" s="15" t="str">
        <f aca="false">IF(Scores!$A49="","",MIN(Scores!C49,Scores!E49,1-Scores!H49,1-Scores!G49))</f>
        <v/>
      </c>
      <c r="H49" s="15" t="str">
        <f aca="false">IF(Scores!$A49="","",MIN(G49,B49))</f>
        <v/>
      </c>
    </row>
    <row r="50" customFormat="false" ht="15" hidden="false" customHeight="false" outlineLevel="0" collapsed="false">
      <c r="A50" s="12" t="str">
        <f aca="false">IF(Scores!$A50="","",Scores!A50)</f>
        <v/>
      </c>
      <c r="B50" s="15" t="str">
        <f aca="false">IF(Scores!$A50="","",Scores!I50)</f>
        <v/>
      </c>
      <c r="C50" s="15" t="str">
        <f aca="false">IF(Scores!$A50="","",MIN(Scores!F50,Scores!G50))</f>
        <v/>
      </c>
      <c r="D50" s="15" t="str">
        <f aca="false">IF(Scores!$A50="","",MIN(C50,B50))</f>
        <v/>
      </c>
      <c r="E50" s="15" t="str">
        <f aca="false">IF(Scores!$A50="","",MIN(Scores!C50,Scores!D50,Scores!E50,1-Scores!G50))</f>
        <v/>
      </c>
      <c r="F50" s="15" t="str">
        <f aca="false">IF(Scores!$A50="","",MIN(E50,B50))</f>
        <v/>
      </c>
      <c r="G50" s="15" t="str">
        <f aca="false">IF(Scores!$A50="","",MIN(Scores!C50,Scores!E50,1-Scores!H50,1-Scores!G50))</f>
        <v/>
      </c>
      <c r="H50" s="15" t="str">
        <f aca="false">IF(Scores!$A50="","",MIN(G50,B50))</f>
        <v/>
      </c>
    </row>
    <row r="51" customFormat="false" ht="15" hidden="false" customHeight="false" outlineLevel="0" collapsed="false">
      <c r="A51" s="12" t="str">
        <f aca="false">IF(Scores!$A51="","",Scores!A51)</f>
        <v/>
      </c>
      <c r="B51" s="15" t="str">
        <f aca="false">IF(Scores!$A51="","",Scores!I51)</f>
        <v/>
      </c>
      <c r="C51" s="15" t="str">
        <f aca="false">IF(Scores!$A51="","",MIN(Scores!F51,Scores!G51))</f>
        <v/>
      </c>
      <c r="D51" s="15" t="str">
        <f aca="false">IF(Scores!$A51="","",MIN(C51,B51))</f>
        <v/>
      </c>
      <c r="E51" s="15" t="str">
        <f aca="false">IF(Scores!$A51="","",MIN(Scores!C51,Scores!D51,Scores!E51,1-Scores!G51))</f>
        <v/>
      </c>
      <c r="F51" s="15" t="str">
        <f aca="false">IF(Scores!$A51="","",MIN(E51,B51))</f>
        <v/>
      </c>
      <c r="G51" s="15" t="str">
        <f aca="false">IF(Scores!$A51="","",MIN(Scores!C51,Scores!E51,1-Scores!H51,1-Scores!G51))</f>
        <v/>
      </c>
      <c r="H51" s="15" t="str">
        <f aca="false">IF(Scores!$A51="","",MIN(G51,B51))</f>
        <v/>
      </c>
    </row>
    <row r="52" customFormat="false" ht="15" hidden="false" customHeight="false" outlineLevel="0" collapsed="false">
      <c r="A52" s="12" t="str">
        <f aca="false">IF(Scores!$A52="","",Scores!A52)</f>
        <v/>
      </c>
      <c r="B52" s="15" t="str">
        <f aca="false">IF(Scores!$A52="","",Scores!I52)</f>
        <v/>
      </c>
      <c r="C52" s="15" t="str">
        <f aca="false">IF(Scores!$A52="","",MIN(Scores!F52,Scores!G52))</f>
        <v/>
      </c>
      <c r="D52" s="15" t="str">
        <f aca="false">IF(Scores!$A52="","",MIN(C52,B52))</f>
        <v/>
      </c>
      <c r="E52" s="15" t="str">
        <f aca="false">IF(Scores!$A52="","",MIN(Scores!C52,Scores!D52,Scores!E52,1-Scores!G52))</f>
        <v/>
      </c>
      <c r="F52" s="15" t="str">
        <f aca="false">IF(Scores!$A52="","",MIN(E52,B52))</f>
        <v/>
      </c>
      <c r="G52" s="15" t="str">
        <f aca="false">IF(Scores!$A52="","",MIN(Scores!C52,Scores!E52,1-Scores!H52,1-Scores!G52))</f>
        <v/>
      </c>
      <c r="H52" s="15" t="str">
        <f aca="false">IF(Scores!$A52="","",MIN(G52,B52))</f>
        <v/>
      </c>
    </row>
    <row r="53" customFormat="false" ht="15" hidden="false" customHeight="false" outlineLevel="0" collapsed="false">
      <c r="A53" s="12" t="str">
        <f aca="false">IF(Scores!$A53="","",Scores!A53)</f>
        <v/>
      </c>
      <c r="B53" s="15" t="str">
        <f aca="false">IF(Scores!$A53="","",Scores!I53)</f>
        <v/>
      </c>
      <c r="C53" s="15" t="str">
        <f aca="false">IF(Scores!$A53="","",MIN(Scores!F53,Scores!G53))</f>
        <v/>
      </c>
      <c r="D53" s="15" t="str">
        <f aca="false">IF(Scores!$A53="","",MIN(C53,B53))</f>
        <v/>
      </c>
      <c r="E53" s="15" t="str">
        <f aca="false">IF(Scores!$A53="","",MIN(Scores!C53,Scores!D53,Scores!E53,1-Scores!G53))</f>
        <v/>
      </c>
      <c r="F53" s="15" t="str">
        <f aca="false">IF(Scores!$A53="","",MIN(E53,B53))</f>
        <v/>
      </c>
      <c r="G53" s="15" t="str">
        <f aca="false">IF(Scores!$A53="","",MIN(Scores!C53,Scores!E53,1-Scores!H53,1-Scores!G53))</f>
        <v/>
      </c>
      <c r="H53" s="15" t="str">
        <f aca="false">IF(Scores!$A53="","",MIN(G53,B53))</f>
        <v/>
      </c>
    </row>
    <row r="54" customFormat="false" ht="15" hidden="false" customHeight="false" outlineLevel="0" collapsed="false">
      <c r="A54" s="12" t="str">
        <f aca="false">IF(Scores!$A54="","",Scores!A54)</f>
        <v/>
      </c>
      <c r="B54" s="15" t="str">
        <f aca="false">IF(Scores!$A54="","",Scores!I54)</f>
        <v/>
      </c>
      <c r="C54" s="15" t="str">
        <f aca="false">IF(Scores!$A54="","",MIN(Scores!F54,Scores!G54))</f>
        <v/>
      </c>
      <c r="D54" s="15" t="str">
        <f aca="false">IF(Scores!$A54="","",MIN(C54,B54))</f>
        <v/>
      </c>
      <c r="E54" s="15" t="str">
        <f aca="false">IF(Scores!$A54="","",MIN(Scores!C54,Scores!D54,Scores!E54,1-Scores!G54))</f>
        <v/>
      </c>
      <c r="F54" s="15" t="str">
        <f aca="false">IF(Scores!$A54="","",MIN(E54,B54))</f>
        <v/>
      </c>
      <c r="G54" s="15" t="str">
        <f aca="false">IF(Scores!$A54="","",MIN(Scores!C54,Scores!E54,1-Scores!H54,1-Scores!G54))</f>
        <v/>
      </c>
      <c r="H54" s="15" t="str">
        <f aca="false">IF(Scores!$A54="","",MIN(G54,B54))</f>
        <v/>
      </c>
    </row>
    <row r="55" customFormat="false" ht="15" hidden="false" customHeight="false" outlineLevel="0" collapsed="false">
      <c r="A55" s="12" t="str">
        <f aca="false">IF(Scores!$A55="","",Scores!A55)</f>
        <v/>
      </c>
      <c r="B55" s="15" t="str">
        <f aca="false">IF(Scores!$A55="","",Scores!I55)</f>
        <v/>
      </c>
      <c r="C55" s="15" t="str">
        <f aca="false">IF(Scores!$A55="","",MIN(Scores!F55,Scores!G55))</f>
        <v/>
      </c>
      <c r="D55" s="15" t="str">
        <f aca="false">IF(Scores!$A55="","",MIN(C55,B55))</f>
        <v/>
      </c>
      <c r="E55" s="15" t="str">
        <f aca="false">IF(Scores!$A55="","",MIN(Scores!C55,Scores!D55,Scores!E55,1-Scores!G55))</f>
        <v/>
      </c>
      <c r="F55" s="15" t="str">
        <f aca="false">IF(Scores!$A55="","",MIN(E55,B55))</f>
        <v/>
      </c>
      <c r="G55" s="15" t="str">
        <f aca="false">IF(Scores!$A55="","",MIN(Scores!C55,Scores!E55,1-Scores!H55,1-Scores!G55))</f>
        <v/>
      </c>
      <c r="H55" s="15" t="str">
        <f aca="false">IF(Scores!$A55="","",MIN(G55,B55))</f>
        <v/>
      </c>
    </row>
    <row r="56" customFormat="false" ht="15" hidden="false" customHeight="false" outlineLevel="0" collapsed="false">
      <c r="A56" s="12" t="str">
        <f aca="false">IF(Scores!$A56="","",Scores!A56)</f>
        <v/>
      </c>
      <c r="B56" s="15" t="str">
        <f aca="false">IF(Scores!$A56="","",Scores!I56)</f>
        <v/>
      </c>
      <c r="C56" s="15" t="str">
        <f aca="false">IF(Scores!$A56="","",MIN(Scores!F56,Scores!G56))</f>
        <v/>
      </c>
      <c r="D56" s="15" t="str">
        <f aca="false">IF(Scores!$A56="","",MIN(C56,B56))</f>
        <v/>
      </c>
      <c r="E56" s="15" t="str">
        <f aca="false">IF(Scores!$A56="","",MIN(Scores!C56,Scores!D56,Scores!E56,1-Scores!G56))</f>
        <v/>
      </c>
      <c r="F56" s="15" t="str">
        <f aca="false">IF(Scores!$A56="","",MIN(E56,B56))</f>
        <v/>
      </c>
      <c r="G56" s="15" t="str">
        <f aca="false">IF(Scores!$A56="","",MIN(Scores!C56,Scores!E56,1-Scores!H56,1-Scores!G56))</f>
        <v/>
      </c>
      <c r="H56" s="15" t="str">
        <f aca="false">IF(Scores!$A56="","",MIN(G56,B56))</f>
        <v/>
      </c>
    </row>
    <row r="57" customFormat="false" ht="15" hidden="false" customHeight="false" outlineLevel="0" collapsed="false">
      <c r="A57" s="12" t="str">
        <f aca="false">IF(Scores!$A57="","",Scores!A57)</f>
        <v/>
      </c>
      <c r="B57" s="15" t="str">
        <f aca="false">IF(Scores!$A57="","",Scores!I57)</f>
        <v/>
      </c>
      <c r="C57" s="15" t="str">
        <f aca="false">IF(Scores!$A57="","",MIN(Scores!F57,Scores!G57))</f>
        <v/>
      </c>
      <c r="D57" s="15" t="str">
        <f aca="false">IF(Scores!$A57="","",MIN(C57,B57))</f>
        <v/>
      </c>
      <c r="E57" s="15" t="str">
        <f aca="false">IF(Scores!$A57="","",MIN(Scores!C57,Scores!D57,Scores!E57,1-Scores!G57))</f>
        <v/>
      </c>
      <c r="F57" s="15" t="str">
        <f aca="false">IF(Scores!$A57="","",MIN(E57,B57))</f>
        <v/>
      </c>
      <c r="G57" s="15" t="str">
        <f aca="false">IF(Scores!$A57="","",MIN(Scores!C57,Scores!E57,1-Scores!H57,1-Scores!G57))</f>
        <v/>
      </c>
      <c r="H57" s="15" t="str">
        <f aca="false">IF(Scores!$A57="","",MIN(G57,B57))</f>
        <v/>
      </c>
    </row>
    <row r="58" customFormat="false" ht="15" hidden="false" customHeight="false" outlineLevel="0" collapsed="false">
      <c r="A58" s="12" t="str">
        <f aca="false">IF(Scores!$A58="","",Scores!A58)</f>
        <v/>
      </c>
      <c r="B58" s="15" t="str">
        <f aca="false">IF(Scores!$A58="","",Scores!I58)</f>
        <v/>
      </c>
      <c r="C58" s="15" t="str">
        <f aca="false">IF(Scores!$A58="","",MIN(Scores!F58,Scores!G58))</f>
        <v/>
      </c>
      <c r="D58" s="15" t="str">
        <f aca="false">IF(Scores!$A58="","",MIN(C58,B58))</f>
        <v/>
      </c>
      <c r="E58" s="15" t="str">
        <f aca="false">IF(Scores!$A58="","",MIN(Scores!C58,Scores!D58,Scores!E58,1-Scores!G58))</f>
        <v/>
      </c>
      <c r="F58" s="15" t="str">
        <f aca="false">IF(Scores!$A58="","",MIN(E58,B58))</f>
        <v/>
      </c>
      <c r="G58" s="15" t="str">
        <f aca="false">IF(Scores!$A58="","",MIN(Scores!C58,Scores!E58,1-Scores!H58,1-Scores!G58))</f>
        <v/>
      </c>
      <c r="H58" s="15" t="str">
        <f aca="false">IF(Scores!$A58="","",MIN(G58,B58))</f>
        <v/>
      </c>
    </row>
    <row r="59" customFormat="false" ht="15" hidden="false" customHeight="false" outlineLevel="0" collapsed="false">
      <c r="A59" s="12" t="str">
        <f aca="false">IF(Scores!$A59="","",Scores!A59)</f>
        <v/>
      </c>
      <c r="B59" s="15" t="str">
        <f aca="false">IF(Scores!$A59="","",Scores!I59)</f>
        <v/>
      </c>
      <c r="C59" s="15" t="str">
        <f aca="false">IF(Scores!$A59="","",MIN(Scores!F59,Scores!G59))</f>
        <v/>
      </c>
      <c r="D59" s="15" t="str">
        <f aca="false">IF(Scores!$A59="","",MIN(C59,B59))</f>
        <v/>
      </c>
      <c r="E59" s="15" t="str">
        <f aca="false">IF(Scores!$A59="","",MIN(Scores!C59,Scores!D59,Scores!E59,1-Scores!G59))</f>
        <v/>
      </c>
      <c r="F59" s="15" t="str">
        <f aca="false">IF(Scores!$A59="","",MIN(E59,B59))</f>
        <v/>
      </c>
      <c r="G59" s="15" t="str">
        <f aca="false">IF(Scores!$A59="","",MIN(Scores!C59,Scores!E59,1-Scores!H59,1-Scores!G59))</f>
        <v/>
      </c>
      <c r="H59" s="15" t="str">
        <f aca="false">IF(Scores!$A59="","",MIN(G59,B59))</f>
        <v/>
      </c>
    </row>
    <row r="60" customFormat="false" ht="15" hidden="false" customHeight="false" outlineLevel="0" collapsed="false">
      <c r="A60" s="12" t="str">
        <f aca="false">IF(Scores!$A60="","",Scores!A60)</f>
        <v/>
      </c>
      <c r="B60" s="15" t="str">
        <f aca="false">IF(Scores!$A60="","",Scores!I60)</f>
        <v/>
      </c>
      <c r="C60" s="15" t="str">
        <f aca="false">IF(Scores!$A60="","",MIN(Scores!F60,Scores!G60))</f>
        <v/>
      </c>
      <c r="D60" s="15" t="str">
        <f aca="false">IF(Scores!$A60="","",MIN(C60,B60))</f>
        <v/>
      </c>
      <c r="E60" s="15" t="str">
        <f aca="false">IF(Scores!$A60="","",MIN(Scores!C60,Scores!D60,Scores!E60,1-Scores!G60))</f>
        <v/>
      </c>
      <c r="F60" s="15" t="str">
        <f aca="false">IF(Scores!$A60="","",MIN(E60,B60))</f>
        <v/>
      </c>
      <c r="G60" s="15" t="str">
        <f aca="false">IF(Scores!$A60="","",MIN(Scores!C60,Scores!E60,1-Scores!H60,1-Scores!G60))</f>
        <v/>
      </c>
      <c r="H60" s="15" t="str">
        <f aca="false">IF(Scores!$A60="","",MIN(G60,B60))</f>
        <v/>
      </c>
    </row>
    <row r="61" customFormat="false" ht="15" hidden="false" customHeight="false" outlineLevel="0" collapsed="false">
      <c r="A61" s="12" t="str">
        <f aca="false">IF(Scores!$A61="","",Scores!A61)</f>
        <v/>
      </c>
      <c r="B61" s="15" t="str">
        <f aca="false">IF(Scores!$A61="","",Scores!I61)</f>
        <v/>
      </c>
      <c r="C61" s="15" t="str">
        <f aca="false">IF(Scores!$A61="","",MIN(Scores!F61,Scores!G61))</f>
        <v/>
      </c>
      <c r="D61" s="15" t="str">
        <f aca="false">IF(Scores!$A61="","",MIN(C61,B61))</f>
        <v/>
      </c>
      <c r="E61" s="15" t="str">
        <f aca="false">IF(Scores!$A61="","",MIN(Scores!C61,Scores!D61,Scores!E61,1-Scores!G61))</f>
        <v/>
      </c>
      <c r="F61" s="15" t="str">
        <f aca="false">IF(Scores!$A61="","",MIN(E61,B61))</f>
        <v/>
      </c>
      <c r="G61" s="15" t="str">
        <f aca="false">IF(Scores!$A61="","",MIN(Scores!C61,Scores!E61,1-Scores!H61,1-Scores!G61))</f>
        <v/>
      </c>
      <c r="H61" s="15" t="str">
        <f aca="false">IF(Scores!$A61="","",MIN(G61,B61))</f>
        <v/>
      </c>
    </row>
    <row r="63" customFormat="false" ht="15" hidden="false" customHeight="false" outlineLevel="0" collapsed="false">
      <c r="A63" s="13" t="s">
        <v>137</v>
      </c>
    </row>
    <row r="64" customFormat="false" ht="15" hidden="false" customHeight="false" outlineLevel="0" collapsed="false">
      <c r="A64" s="13" t="s">
        <v>138</v>
      </c>
      <c r="C64" s="16" t="n">
        <f aca="false">IF(SUM(C2:C61)=0,0,SUM(D2:D61)/SUM(C2:C61))</f>
        <v>0.705555555555556</v>
      </c>
      <c r="E64" s="16" t="n">
        <f aca="false">IF(SUM(E2:E61)=0,0,SUM(F2:F61)/SUM(E2:E61))</f>
        <v>0.85501066098081</v>
      </c>
      <c r="G64" s="16" t="n">
        <f aca="false">IF(SUM(G2:G61)=0,0,SUM(H2:H61)/SUM(G2:G61))</f>
        <v>1</v>
      </c>
    </row>
    <row r="65" customFormat="false" ht="15" hidden="false" customHeight="false" outlineLevel="0" collapsed="false">
      <c r="A65" s="13" t="s">
        <v>139</v>
      </c>
      <c r="C65" s="16" t="n">
        <f aca="false">IF(SUM(B2:B61)=0,0,SUM(D2:D61)/SUM(B2:B61))</f>
        <v>0.500788643533123</v>
      </c>
      <c r="E65" s="16" t="n">
        <f aca="false">IF(SUM(B2:B61)=0,0,SUM(F2:F61)/SUM(B2:B61))</f>
        <v>0.316246056782335</v>
      </c>
      <c r="G65" s="16" t="n">
        <f aca="false">IF(SUM(B2:B61)=0,0,SUM(H2:H61)/SUM(B2:B61))</f>
        <v>0.316246056782334</v>
      </c>
    </row>
    <row r="67" customFormat="false" ht="15" hidden="false" customHeight="false" outlineLevel="0" collapsed="false">
      <c r="A67" s="14"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5" min="3" style="0" width="7"/>
    <col collapsed="false" customWidth="true" hidden="false" outlineLevel="0" max="6" min="6" style="0" width="8"/>
    <col collapsed="false" customWidth="true" hidden="false" outlineLevel="0" max="7" min="7" style="0" width="7"/>
    <col collapsed="false" customWidth="true" hidden="false" outlineLevel="0" max="8" min="8" style="0" width="8"/>
    <col collapsed="false" customWidth="true" hidden="false" outlineLevel="0" max="9" min="9" style="0" width="7"/>
    <col collapsed="false" customWidth="true" hidden="false" outlineLevel="0" max="11" min="10" style="0" width="12"/>
    <col collapsed="false" customWidth="true" hidden="false" outlineLevel="0" max="12" min="12" style="0" width="42"/>
    <col collapsed="false" customWidth="true" hidden="false" outlineLevel="0" max="13" min="13" style="0" width="70"/>
  </cols>
  <sheetData>
    <row r="1" customFormat="false" ht="26.85" hidden="false" customHeight="false" outlineLevel="0" collapsed="false">
      <c r="A1" s="9" t="s">
        <v>34</v>
      </c>
      <c r="B1" s="9" t="s">
        <v>35</v>
      </c>
      <c r="C1" s="9" t="s">
        <v>13</v>
      </c>
      <c r="D1" s="9" t="s">
        <v>15</v>
      </c>
      <c r="E1" s="9" t="s">
        <v>17</v>
      </c>
      <c r="F1" s="9" t="s">
        <v>19</v>
      </c>
      <c r="G1" s="9" t="s">
        <v>21</v>
      </c>
      <c r="H1" s="9" t="s">
        <v>23</v>
      </c>
      <c r="I1" s="9" t="s">
        <v>36</v>
      </c>
      <c r="J1" s="9" t="s">
        <v>26</v>
      </c>
      <c r="K1" s="9" t="s">
        <v>28</v>
      </c>
      <c r="L1" s="9" t="s">
        <v>37</v>
      </c>
      <c r="M1" s="9" t="s">
        <v>38</v>
      </c>
    </row>
    <row r="2" customFormat="false" ht="26.85" hidden="false" customHeight="false" outlineLevel="0" collapsed="false">
      <c r="A2" s="6" t="s">
        <v>39</v>
      </c>
      <c r="B2" s="6" t="s">
        <v>40</v>
      </c>
      <c r="C2" s="17" t="n">
        <v>0</v>
      </c>
      <c r="D2" s="17" t="n">
        <v>0.33</v>
      </c>
      <c r="E2" s="17" t="n">
        <v>0.67</v>
      </c>
      <c r="F2" s="17" t="n">
        <v>1</v>
      </c>
      <c r="G2" s="17" t="n">
        <v>1</v>
      </c>
      <c r="H2" s="17" t="n">
        <v>0</v>
      </c>
      <c r="I2" s="17" t="n">
        <v>1</v>
      </c>
      <c r="J2" s="6" t="n">
        <v>1</v>
      </c>
      <c r="K2" s="6" t="n">
        <v>1</v>
      </c>
      <c r="L2" s="6" t="s">
        <v>41</v>
      </c>
      <c r="M2" s="6" t="s">
        <v>42</v>
      </c>
    </row>
    <row r="3" customFormat="false" ht="26.85" hidden="false" customHeight="false" outlineLevel="0" collapsed="false">
      <c r="A3" s="6" t="s">
        <v>43</v>
      </c>
      <c r="B3" s="6" t="s">
        <v>44</v>
      </c>
      <c r="C3" s="17" t="n">
        <v>0</v>
      </c>
      <c r="D3" s="17" t="n">
        <v>0</v>
      </c>
      <c r="E3" s="17" t="n">
        <v>0.67</v>
      </c>
      <c r="F3" s="17" t="n">
        <v>1</v>
      </c>
      <c r="G3" s="17" t="n">
        <v>1</v>
      </c>
      <c r="H3" s="17" t="n">
        <v>0</v>
      </c>
      <c r="I3" s="17" t="n">
        <v>1</v>
      </c>
      <c r="J3" s="6" t="n">
        <v>1</v>
      </c>
      <c r="K3" s="6" t="n">
        <v>1</v>
      </c>
      <c r="L3" s="6" t="s">
        <v>45</v>
      </c>
      <c r="M3" s="6" t="s">
        <v>46</v>
      </c>
    </row>
    <row r="4" customFormat="false" ht="39.55" hidden="false" customHeight="false" outlineLevel="0" collapsed="false">
      <c r="A4" s="6" t="s">
        <v>47</v>
      </c>
      <c r="B4" s="6" t="s">
        <v>48</v>
      </c>
      <c r="C4" s="17" t="n">
        <v>0</v>
      </c>
      <c r="D4" s="17" t="n">
        <v>0.33</v>
      </c>
      <c r="E4" s="17" t="n">
        <v>0.33</v>
      </c>
      <c r="F4" s="17" t="n">
        <v>1</v>
      </c>
      <c r="G4" s="17" t="n">
        <v>1</v>
      </c>
      <c r="H4" s="17" t="n">
        <v>0</v>
      </c>
      <c r="I4" s="17" t="n">
        <v>0.67</v>
      </c>
      <c r="J4" s="6" t="n">
        <v>1</v>
      </c>
      <c r="K4" s="6" t="n">
        <v>0</v>
      </c>
      <c r="L4" s="6" t="s">
        <v>49</v>
      </c>
      <c r="M4" s="6" t="s">
        <v>50</v>
      </c>
    </row>
    <row r="5" customFormat="false" ht="26.85" hidden="false" customHeight="false" outlineLevel="0" collapsed="false">
      <c r="A5" s="6" t="s">
        <v>51</v>
      </c>
      <c r="B5" s="6" t="s">
        <v>52</v>
      </c>
      <c r="C5" s="17" t="n">
        <v>0.33</v>
      </c>
      <c r="D5" s="17" t="n">
        <v>0.33</v>
      </c>
      <c r="E5" s="17" t="n">
        <v>0</v>
      </c>
      <c r="F5" s="17" t="n">
        <v>1</v>
      </c>
      <c r="G5" s="17" t="n">
        <v>1</v>
      </c>
      <c r="H5" s="17" t="n">
        <v>0</v>
      </c>
      <c r="I5" s="17" t="n">
        <v>0.67</v>
      </c>
      <c r="J5" s="6" t="n">
        <v>1</v>
      </c>
      <c r="K5" s="6" t="n">
        <v>1</v>
      </c>
      <c r="L5" s="6" t="s">
        <v>53</v>
      </c>
      <c r="M5" s="6" t="s">
        <v>54</v>
      </c>
    </row>
    <row r="6" customFormat="false" ht="26.85" hidden="false" customHeight="false" outlineLevel="0" collapsed="false">
      <c r="A6" s="6" t="s">
        <v>55</v>
      </c>
      <c r="B6" s="6" t="s">
        <v>56</v>
      </c>
      <c r="C6" s="17" t="n">
        <v>0.33</v>
      </c>
      <c r="D6" s="17" t="n">
        <v>0.67</v>
      </c>
      <c r="E6" s="17" t="n">
        <v>0</v>
      </c>
      <c r="F6" s="17" t="n">
        <v>1</v>
      </c>
      <c r="G6" s="17" t="n">
        <v>1</v>
      </c>
      <c r="H6" s="17" t="n">
        <v>0</v>
      </c>
      <c r="I6" s="17" t="n">
        <v>0.67</v>
      </c>
      <c r="J6" s="6" t="n">
        <v>1</v>
      </c>
      <c r="K6" s="6" t="n">
        <v>0</v>
      </c>
      <c r="L6" s="6" t="s">
        <v>57</v>
      </c>
      <c r="M6" s="6" t="s">
        <v>58</v>
      </c>
    </row>
    <row r="7" customFormat="false" ht="26.85" hidden="false" customHeight="false" outlineLevel="0" collapsed="false">
      <c r="A7" s="6" t="s">
        <v>59</v>
      </c>
      <c r="B7" s="6" t="s">
        <v>60</v>
      </c>
      <c r="C7" s="17" t="n">
        <v>0.67</v>
      </c>
      <c r="D7" s="17" t="n">
        <v>0.67</v>
      </c>
      <c r="E7" s="17" t="n">
        <v>0.33</v>
      </c>
      <c r="F7" s="17" t="n">
        <v>1</v>
      </c>
      <c r="G7" s="17" t="n">
        <v>1</v>
      </c>
      <c r="H7" s="17" t="n">
        <v>0</v>
      </c>
      <c r="I7" s="17" t="n">
        <v>0.67</v>
      </c>
      <c r="J7" s="6" t="n">
        <v>1</v>
      </c>
      <c r="K7" s="6" t="n">
        <v>1</v>
      </c>
      <c r="L7" s="6" t="s">
        <v>61</v>
      </c>
      <c r="M7" s="6" t="s">
        <v>62</v>
      </c>
    </row>
    <row r="8" customFormat="false" ht="26.85" hidden="false" customHeight="false" outlineLevel="0" collapsed="false">
      <c r="A8" s="6" t="s">
        <v>63</v>
      </c>
      <c r="B8" s="6" t="s">
        <v>64</v>
      </c>
      <c r="C8" s="17" t="n">
        <v>0.67</v>
      </c>
      <c r="D8" s="17" t="n">
        <v>0.67</v>
      </c>
      <c r="E8" s="17" t="n">
        <v>0</v>
      </c>
      <c r="F8" s="17" t="n">
        <v>1</v>
      </c>
      <c r="G8" s="17" t="n">
        <v>1</v>
      </c>
      <c r="H8" s="17" t="n">
        <v>0.67</v>
      </c>
      <c r="I8" s="17" t="n">
        <v>0.67</v>
      </c>
      <c r="J8" s="6" t="n">
        <v>1</v>
      </c>
      <c r="K8" s="6" t="n">
        <v>0</v>
      </c>
      <c r="L8" s="6" t="s">
        <v>65</v>
      </c>
      <c r="M8" s="6" t="s">
        <v>66</v>
      </c>
    </row>
    <row r="9" customFormat="false" ht="26.85" hidden="false" customHeight="false" outlineLevel="0" collapsed="false">
      <c r="A9" s="6" t="s">
        <v>67</v>
      </c>
      <c r="B9" s="6" t="s">
        <v>68</v>
      </c>
      <c r="C9" s="17" t="n">
        <v>0</v>
      </c>
      <c r="D9" s="17" t="n">
        <v>0.33</v>
      </c>
      <c r="E9" s="17" t="n">
        <v>0.67</v>
      </c>
      <c r="F9" s="17" t="n">
        <v>1</v>
      </c>
      <c r="G9" s="17" t="n">
        <v>1</v>
      </c>
      <c r="H9" s="17" t="n">
        <v>0</v>
      </c>
      <c r="I9" s="17" t="n">
        <v>0</v>
      </c>
      <c r="J9" s="6" t="n">
        <v>1</v>
      </c>
      <c r="K9" s="6" t="n">
        <v>1</v>
      </c>
      <c r="L9" s="6" t="s">
        <v>69</v>
      </c>
      <c r="M9" s="6" t="s">
        <v>70</v>
      </c>
    </row>
    <row r="10" customFormat="false" ht="39.55" hidden="false" customHeight="false" outlineLevel="0" collapsed="false">
      <c r="A10" s="6" t="s">
        <v>71</v>
      </c>
      <c r="B10" s="6" t="s">
        <v>72</v>
      </c>
      <c r="C10" s="17" t="n">
        <v>0</v>
      </c>
      <c r="D10" s="17" t="n">
        <v>0.33</v>
      </c>
      <c r="E10" s="17" t="n">
        <v>0</v>
      </c>
      <c r="F10" s="17" t="n">
        <v>0</v>
      </c>
      <c r="G10" s="17" t="n">
        <v>1</v>
      </c>
      <c r="H10" s="17" t="n">
        <v>0</v>
      </c>
      <c r="I10" s="17" t="n">
        <v>0</v>
      </c>
      <c r="J10" s="6" t="n">
        <v>0</v>
      </c>
      <c r="K10" s="6" t="n">
        <v>1</v>
      </c>
      <c r="L10" s="6" t="s">
        <v>73</v>
      </c>
      <c r="M10" s="6" t="s">
        <v>74</v>
      </c>
    </row>
    <row r="11" customFormat="false" ht="26.85" hidden="false" customHeight="false" outlineLevel="0" collapsed="false">
      <c r="A11" s="6" t="s">
        <v>75</v>
      </c>
      <c r="B11" s="6" t="s">
        <v>76</v>
      </c>
      <c r="C11" s="17" t="n">
        <v>0</v>
      </c>
      <c r="D11" s="17" t="n">
        <v>0.67</v>
      </c>
      <c r="E11" s="17" t="n">
        <v>1</v>
      </c>
      <c r="F11" s="17" t="n">
        <v>0</v>
      </c>
      <c r="G11" s="17" t="n">
        <v>1</v>
      </c>
      <c r="H11" s="17" t="n">
        <v>0</v>
      </c>
      <c r="I11" s="17" t="n">
        <v>1</v>
      </c>
      <c r="J11" s="6" t="n">
        <v>0</v>
      </c>
      <c r="K11" s="6" t="n">
        <v>1</v>
      </c>
      <c r="L11" s="6" t="s">
        <v>77</v>
      </c>
      <c r="M11" s="6" t="s">
        <v>78</v>
      </c>
    </row>
    <row r="12" customFormat="false" ht="26.85" hidden="false" customHeight="false" outlineLevel="0" collapsed="false">
      <c r="A12" s="6" t="s">
        <v>79</v>
      </c>
      <c r="B12" s="6" t="s">
        <v>80</v>
      </c>
      <c r="C12" s="17" t="n">
        <v>0</v>
      </c>
      <c r="D12" s="17" t="n">
        <v>0</v>
      </c>
      <c r="E12" s="17" t="n">
        <v>1</v>
      </c>
      <c r="F12" s="17" t="n">
        <v>1</v>
      </c>
      <c r="G12" s="17" t="n">
        <v>1</v>
      </c>
      <c r="H12" s="17" t="n">
        <v>0</v>
      </c>
      <c r="I12" s="17" t="n">
        <v>1</v>
      </c>
      <c r="J12" s="6" t="n">
        <v>1</v>
      </c>
      <c r="K12" s="6" t="n">
        <v>1</v>
      </c>
      <c r="L12" s="6" t="s">
        <v>81</v>
      </c>
      <c r="M12" s="6" t="s">
        <v>82</v>
      </c>
    </row>
    <row r="13" customFormat="false" ht="52.2" hidden="false" customHeight="false" outlineLevel="0" collapsed="false">
      <c r="A13" s="6" t="s">
        <v>83</v>
      </c>
      <c r="B13" s="6" t="s">
        <v>84</v>
      </c>
      <c r="C13" s="17" t="n">
        <v>0.67</v>
      </c>
      <c r="D13" s="17" t="n">
        <v>0.67</v>
      </c>
      <c r="E13" s="17" t="n">
        <v>0.67</v>
      </c>
      <c r="F13" s="17" t="n">
        <v>1</v>
      </c>
      <c r="G13" s="17" t="n">
        <v>0</v>
      </c>
      <c r="H13" s="17" t="n">
        <v>1</v>
      </c>
      <c r="I13" s="17" t="n">
        <v>0.33</v>
      </c>
      <c r="J13" s="6" t="n">
        <v>1</v>
      </c>
      <c r="K13" s="6" t="n">
        <v>1</v>
      </c>
      <c r="L13" s="6" t="s">
        <v>85</v>
      </c>
      <c r="M13" s="6" t="s">
        <v>86</v>
      </c>
    </row>
    <row r="14" customFormat="false" ht="39.55" hidden="false" customHeight="false" outlineLevel="0" collapsed="false">
      <c r="A14" s="6" t="s">
        <v>87</v>
      </c>
      <c r="B14" s="6" t="s">
        <v>88</v>
      </c>
      <c r="C14" s="17" t="n">
        <v>1</v>
      </c>
      <c r="D14" s="17" t="n">
        <v>0.67</v>
      </c>
      <c r="E14" s="17" t="n">
        <v>1</v>
      </c>
      <c r="F14" s="17" t="n">
        <v>1</v>
      </c>
      <c r="G14" s="17" t="n">
        <v>0</v>
      </c>
      <c r="H14" s="17" t="n">
        <v>0</v>
      </c>
      <c r="I14" s="17" t="n">
        <v>1</v>
      </c>
      <c r="J14" s="6" t="n">
        <v>1</v>
      </c>
      <c r="K14" s="6" t="n">
        <v>1</v>
      </c>
      <c r="L14" s="6" t="s">
        <v>89</v>
      </c>
      <c r="M14" s="6" t="s">
        <v>90</v>
      </c>
    </row>
    <row r="15" customFormat="false" ht="26.85" hidden="false" customHeight="false" outlineLevel="0" collapsed="false">
      <c r="A15" s="6" t="s">
        <v>91</v>
      </c>
      <c r="B15" s="6" t="s">
        <v>92</v>
      </c>
      <c r="C15" s="17" t="n">
        <v>0.67</v>
      </c>
      <c r="D15" s="17" t="n">
        <v>0.67</v>
      </c>
      <c r="E15" s="17" t="n">
        <v>1</v>
      </c>
      <c r="F15" s="17" t="n">
        <v>0.67</v>
      </c>
      <c r="G15" s="17" t="n">
        <v>0</v>
      </c>
      <c r="H15" s="17" t="n">
        <v>0</v>
      </c>
      <c r="I15" s="17" t="n">
        <v>1</v>
      </c>
      <c r="J15" s="6" t="n">
        <v>1</v>
      </c>
      <c r="K15" s="6" t="n">
        <v>1</v>
      </c>
      <c r="L15" s="6" t="s">
        <v>93</v>
      </c>
      <c r="M15" s="6" t="s">
        <v>94</v>
      </c>
    </row>
    <row r="16" customFormat="false" ht="39.55" hidden="false" customHeight="false" outlineLevel="0" collapsed="false">
      <c r="A16" s="6" t="s">
        <v>95</v>
      </c>
      <c r="B16" s="6" t="s">
        <v>96</v>
      </c>
      <c r="C16" s="17" t="n">
        <v>0.67</v>
      </c>
      <c r="D16" s="17" t="n">
        <v>1</v>
      </c>
      <c r="E16" s="17" t="n">
        <v>1</v>
      </c>
      <c r="F16" s="17" t="n">
        <v>0.67</v>
      </c>
      <c r="G16" s="17" t="n">
        <v>0</v>
      </c>
      <c r="H16" s="17" t="n">
        <v>1</v>
      </c>
      <c r="I16" s="17" t="n">
        <v>0.33</v>
      </c>
      <c r="J16" s="6" t="n">
        <v>1</v>
      </c>
      <c r="K16" s="6" t="n">
        <v>1</v>
      </c>
      <c r="L16" s="6" t="s">
        <v>97</v>
      </c>
      <c r="M16" s="6" t="s">
        <v>98</v>
      </c>
    </row>
    <row r="17" customFormat="false" ht="26.85" hidden="false" customHeight="false" outlineLevel="0" collapsed="false">
      <c r="A17" s="6" t="s">
        <v>99</v>
      </c>
      <c r="B17" s="6" t="s">
        <v>100</v>
      </c>
      <c r="C17" s="17" t="n">
        <v>1</v>
      </c>
      <c r="D17" s="17" t="n">
        <v>0.67</v>
      </c>
      <c r="E17" s="17" t="n">
        <v>1</v>
      </c>
      <c r="F17" s="17" t="n">
        <v>0.33</v>
      </c>
      <c r="G17" s="17" t="n">
        <v>0</v>
      </c>
      <c r="H17" s="17" t="n">
        <v>0</v>
      </c>
      <c r="I17" s="17" t="n">
        <v>1</v>
      </c>
      <c r="J17" s="6" t="n">
        <v>1</v>
      </c>
      <c r="K17" s="6" t="n">
        <v>1</v>
      </c>
      <c r="L17" s="6" t="s">
        <v>101</v>
      </c>
      <c r="M17" s="6" t="s">
        <v>102</v>
      </c>
    </row>
    <row r="18" customFormat="false" ht="39.55" hidden="false" customHeight="false" outlineLevel="0" collapsed="false">
      <c r="A18" s="6" t="s">
        <v>103</v>
      </c>
      <c r="B18" s="6" t="s">
        <v>104</v>
      </c>
      <c r="C18" s="17" t="n">
        <v>0.67</v>
      </c>
      <c r="D18" s="17" t="n">
        <v>0.67</v>
      </c>
      <c r="E18" s="17" t="n">
        <v>1</v>
      </c>
      <c r="F18" s="17" t="n">
        <v>0.33</v>
      </c>
      <c r="G18" s="17" t="n">
        <v>0</v>
      </c>
      <c r="H18" s="17" t="n">
        <v>0</v>
      </c>
      <c r="I18" s="17" t="n">
        <v>1</v>
      </c>
      <c r="J18" s="6" t="n">
        <v>1</v>
      </c>
      <c r="K18" s="6" t="n">
        <v>1</v>
      </c>
      <c r="L18" s="6" t="s">
        <v>105</v>
      </c>
      <c r="M18" s="6" t="s">
        <v>106</v>
      </c>
    </row>
    <row r="19" customFormat="false" ht="39.55" hidden="false" customHeight="false" outlineLevel="0" collapsed="false">
      <c r="A19" s="6" t="s">
        <v>107</v>
      </c>
      <c r="B19" s="6" t="s">
        <v>108</v>
      </c>
      <c r="C19" s="17" t="n">
        <v>1</v>
      </c>
      <c r="D19" s="17" t="n">
        <v>1</v>
      </c>
      <c r="E19" s="17" t="n">
        <v>0.67</v>
      </c>
      <c r="F19" s="17" t="n">
        <v>1</v>
      </c>
      <c r="G19" s="17" t="n">
        <v>0</v>
      </c>
      <c r="H19" s="17" t="n">
        <v>0</v>
      </c>
      <c r="I19" s="17" t="n">
        <v>0.67</v>
      </c>
      <c r="J19" s="6" t="n">
        <v>1</v>
      </c>
      <c r="K19" s="6" t="n">
        <v>1</v>
      </c>
      <c r="L19" s="6" t="s">
        <v>109</v>
      </c>
      <c r="M19" s="6" t="s">
        <v>110</v>
      </c>
    </row>
    <row r="21" customFormat="false" ht="15" hidden="false" customHeight="false" outlineLevel="0" collapsed="false">
      <c r="A21" s="11"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2026-09-28T19:47:28Z</dcterms:created>
  <dc:creator>openpyxl</dc:creator>
  <dc:description/>
  <dc:language>en-US</dc:language>
  <cp:lastModifiedBy/>
  <dcterms:modified xsi:type="dcterms:W3CDTF">2026-09-28T19:47:28Z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